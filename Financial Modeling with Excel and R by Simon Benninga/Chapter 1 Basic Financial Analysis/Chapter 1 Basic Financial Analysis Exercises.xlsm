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atha\OneDrive\Documents\"/>
    </mc:Choice>
  </mc:AlternateContent>
  <xr:revisionPtr revIDLastSave="0" documentId="13_ncr:1_{8BE9DFAA-EAFA-45D3-A310-C2773E0C38B9}" xr6:coauthVersionLast="47" xr6:coauthVersionMax="47" xr10:uidLastSave="{00000000-0000-0000-0000-000000000000}"/>
  <bookViews>
    <workbookView xWindow="-120" yWindow="-120" windowWidth="29040" windowHeight="15840" activeTab="13" xr2:uid="{6BB55BB2-7666-4F27-88B5-82702734436D}"/>
  </bookViews>
  <sheets>
    <sheet name="Q1" sheetId="1" r:id="rId1"/>
    <sheet name="Q2" sheetId="2" r:id="rId2"/>
    <sheet name="Q3" sheetId="3" r:id="rId3"/>
    <sheet name="Q4" sheetId="4" r:id="rId4"/>
    <sheet name="Q5&amp;6" sheetId="5" r:id="rId5"/>
    <sheet name="Q7" sheetId="6" r:id="rId6"/>
    <sheet name="Q8" sheetId="7" r:id="rId7"/>
    <sheet name="Q9" sheetId="8" r:id="rId8"/>
    <sheet name="Q10 &amp; 11" sheetId="9" r:id="rId9"/>
    <sheet name="Q12" sheetId="10" r:id="rId10"/>
    <sheet name="Q13" sheetId="11" r:id="rId11"/>
    <sheet name="Q14" sheetId="13" r:id="rId12"/>
    <sheet name="Q15" sheetId="14" r:id="rId13"/>
    <sheet name="Q16 &amp; 17" sheetId="15" r:id="rId14"/>
  </sheets>
  <definedNames>
    <definedName name="_xleta.OR" hidden="1" xlm="1">#NAME?</definedName>
    <definedName name="solver_adj" localSheetId="10" hidden="1">'Q13'!$B$16</definedName>
    <definedName name="solver_cvg" localSheetId="10" hidden="1">0.0001</definedName>
    <definedName name="solver_drv" localSheetId="10" hidden="1">2</definedName>
    <definedName name="solver_eng" localSheetId="10" hidden="1">1</definedName>
    <definedName name="solver_eng" localSheetId="11" hidden="1">1</definedName>
    <definedName name="solver_est" localSheetId="10" hidden="1">1</definedName>
    <definedName name="solver_itr" localSheetId="10" hidden="1">2147483647</definedName>
    <definedName name="solver_mip" localSheetId="10" hidden="1">2147483647</definedName>
    <definedName name="solver_mni" localSheetId="10" hidden="1">30</definedName>
    <definedName name="solver_mrt" localSheetId="10" hidden="1">0.075</definedName>
    <definedName name="solver_msl" localSheetId="10" hidden="1">2</definedName>
    <definedName name="solver_neg" localSheetId="10" hidden="1">2</definedName>
    <definedName name="solver_neg" localSheetId="11" hidden="1">1</definedName>
    <definedName name="solver_nod" localSheetId="10" hidden="1">2147483647</definedName>
    <definedName name="solver_num" localSheetId="10" hidden="1">0</definedName>
    <definedName name="solver_num" localSheetId="11" hidden="1">0</definedName>
    <definedName name="solver_nwt" localSheetId="10" hidden="1">1</definedName>
    <definedName name="solver_opt" localSheetId="10" hidden="1">'Q13'!$E$73</definedName>
    <definedName name="solver_opt" localSheetId="11" hidden="1">'Q14'!$A$34</definedName>
    <definedName name="solver_pre" localSheetId="10" hidden="1">0.000001</definedName>
    <definedName name="solver_rbv" localSheetId="10" hidden="1">2</definedName>
    <definedName name="solver_rlx" localSheetId="10" hidden="1">2</definedName>
    <definedName name="solver_rsd" localSheetId="10" hidden="1">0</definedName>
    <definedName name="solver_scl" localSheetId="10" hidden="1">2</definedName>
    <definedName name="solver_sho" localSheetId="10" hidden="1">2</definedName>
    <definedName name="solver_ssz" localSheetId="10" hidden="1">100</definedName>
    <definedName name="solver_tim" localSheetId="10" hidden="1">2147483647</definedName>
    <definedName name="solver_tol" localSheetId="10" hidden="1">0.01</definedName>
    <definedName name="solver_typ" localSheetId="10" hidden="1">3</definedName>
    <definedName name="solver_typ" localSheetId="11" hidden="1">3</definedName>
    <definedName name="solver_val" localSheetId="10" hidden="1">0</definedName>
    <definedName name="solver_val" localSheetId="11" hidden="1">0</definedName>
    <definedName name="solver_ver" localSheetId="10" hidden="1">3</definedName>
    <definedName name="solver_ver" localSheetId="11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0" i="15" l="1"/>
  <c r="B19" i="15"/>
  <c r="B17" i="15"/>
  <c r="B14" i="14"/>
  <c r="C25" i="13"/>
  <c r="C26" i="13"/>
  <c r="E19" i="13"/>
  <c r="E30" i="5"/>
  <c r="D30" i="5"/>
  <c r="B30" i="5"/>
  <c r="B29" i="5"/>
  <c r="D29" i="5"/>
  <c r="E29" i="5"/>
  <c r="D32" i="7"/>
  <c r="D31" i="7"/>
  <c r="D30" i="7"/>
  <c r="D29" i="7"/>
  <c r="D28" i="7"/>
  <c r="D27" i="7"/>
  <c r="D26" i="7"/>
  <c r="D25" i="7"/>
  <c r="D24" i="7"/>
  <c r="D23" i="7"/>
  <c r="D22" i="7"/>
  <c r="D21" i="7"/>
  <c r="D20" i="7"/>
  <c r="D19" i="7"/>
  <c r="E19" i="7"/>
  <c r="B20" i="7"/>
  <c r="C19" i="7"/>
  <c r="C20" i="7"/>
  <c r="C27" i="13"/>
  <c r="B26" i="13"/>
  <c r="D25" i="13"/>
  <c r="D21" i="13"/>
  <c r="D20" i="13"/>
  <c r="E20" i="13" s="1"/>
  <c r="D19" i="13"/>
  <c r="B20" i="13" s="1"/>
  <c r="C20" i="13"/>
  <c r="C19" i="13"/>
  <c r="C53" i="11"/>
  <c r="C24" i="11"/>
  <c r="C25" i="11"/>
  <c r="C26" i="11"/>
  <c r="C27" i="11"/>
  <c r="C28" i="11"/>
  <c r="C29" i="11"/>
  <c r="C30" i="11"/>
  <c r="C31" i="11"/>
  <c r="C32" i="11"/>
  <c r="C33" i="11"/>
  <c r="C34" i="11"/>
  <c r="C35" i="11"/>
  <c r="C36" i="11"/>
  <c r="C37" i="11"/>
  <c r="C38" i="11"/>
  <c r="C39" i="11"/>
  <c r="C40" i="11"/>
  <c r="C41" i="11"/>
  <c r="C42" i="11"/>
  <c r="C43" i="11"/>
  <c r="C44" i="11"/>
  <c r="C45" i="11"/>
  <c r="C46" i="11"/>
  <c r="C47" i="11"/>
  <c r="C48" i="11"/>
  <c r="C49" i="11"/>
  <c r="C50" i="11"/>
  <c r="C51" i="11"/>
  <c r="C52" i="11"/>
  <c r="C23" i="11"/>
  <c r="D23" i="11" s="1"/>
  <c r="B19" i="11"/>
  <c r="D26" i="13" l="1"/>
  <c r="E23" i="11"/>
  <c r="B24" i="11" s="1"/>
  <c r="D24" i="11" s="1"/>
  <c r="E24" i="11" l="1"/>
  <c r="B25" i="11" s="1"/>
  <c r="D25" i="11" s="1"/>
  <c r="E25" i="11" s="1"/>
  <c r="B26" i="11" l="1"/>
  <c r="D26" i="11" s="1"/>
  <c r="E26" i="11" s="1"/>
  <c r="C54" i="11"/>
  <c r="C55" i="11"/>
  <c r="C56" i="11"/>
  <c r="C57" i="11"/>
  <c r="C58" i="11"/>
  <c r="C59" i="11"/>
  <c r="C60" i="11"/>
  <c r="C61" i="11"/>
  <c r="C62" i="11"/>
  <c r="C63" i="11"/>
  <c r="C64" i="11"/>
  <c r="C65" i="11"/>
  <c r="C66" i="11"/>
  <c r="C67" i="11"/>
  <c r="C68" i="11"/>
  <c r="C69" i="11"/>
  <c r="C70" i="11"/>
  <c r="C71" i="11"/>
  <c r="C72" i="11"/>
  <c r="C73" i="11"/>
  <c r="B11" i="10"/>
  <c r="C19" i="10"/>
  <c r="D19" i="10"/>
  <c r="B20" i="10"/>
  <c r="D25" i="9"/>
  <c r="B25" i="9"/>
  <c r="D16" i="9"/>
  <c r="B17" i="9" s="1"/>
  <c r="B11" i="9"/>
  <c r="N21" i="8"/>
  <c r="J49" i="8"/>
  <c r="I49" i="8"/>
  <c r="K19" i="8"/>
  <c r="K20" i="8"/>
  <c r="K21" i="8"/>
  <c r="K22" i="8"/>
  <c r="K23" i="8"/>
  <c r="K24" i="8"/>
  <c r="K25" i="8"/>
  <c r="K26" i="8"/>
  <c r="K27" i="8"/>
  <c r="K28" i="8"/>
  <c r="K29" i="8"/>
  <c r="K30" i="8"/>
  <c r="K31" i="8"/>
  <c r="K32" i="8"/>
  <c r="K33" i="8"/>
  <c r="K34" i="8"/>
  <c r="K35" i="8"/>
  <c r="K36" i="8"/>
  <c r="K37" i="8"/>
  <c r="K38" i="8"/>
  <c r="K39" i="8"/>
  <c r="K40" i="8"/>
  <c r="K41" i="8"/>
  <c r="K42" i="8"/>
  <c r="K43" i="8"/>
  <c r="K44" i="8"/>
  <c r="K45" i="8"/>
  <c r="K46" i="8"/>
  <c r="K47" i="8"/>
  <c r="K48" i="8"/>
  <c r="K18" i="8"/>
  <c r="K49" i="8" s="1"/>
  <c r="B50" i="8"/>
  <c r="B17" i="8" s="1"/>
  <c r="G18" i="7"/>
  <c r="G19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A6" i="6"/>
  <c r="H34" i="5"/>
  <c r="M12" i="5"/>
  <c r="K12" i="5"/>
  <c r="G12" i="5"/>
  <c r="H12" i="5" s="1"/>
  <c r="E13" i="5" s="1"/>
  <c r="E12" i="5"/>
  <c r="B24" i="1"/>
  <c r="E18" i="4"/>
  <c r="B27" i="11" l="1"/>
  <c r="D27" i="11" s="1"/>
  <c r="E27" i="11" s="1"/>
  <c r="B26" i="9"/>
  <c r="D26" i="9" s="1"/>
  <c r="D17" i="9"/>
  <c r="B18" i="9" s="1"/>
  <c r="D18" i="9" s="1"/>
  <c r="B19" i="9" s="1"/>
  <c r="H16" i="7"/>
  <c r="G20" i="7"/>
  <c r="I18" i="7"/>
  <c r="E20" i="7"/>
  <c r="B21" i="7" s="1"/>
  <c r="B31" i="5"/>
  <c r="D31" i="5" s="1"/>
  <c r="G13" i="5"/>
  <c r="H13" i="5" s="1"/>
  <c r="E14" i="5"/>
  <c r="N12" i="5"/>
  <c r="K13" i="5" s="1"/>
  <c r="M13" i="5" s="1"/>
  <c r="G14" i="5"/>
  <c r="H14" i="5" s="1"/>
  <c r="B25" i="4"/>
  <c r="B24" i="4"/>
  <c r="B24" i="3"/>
  <c r="E19" i="3"/>
  <c r="E20" i="3" s="1"/>
  <c r="B19" i="3"/>
  <c r="B20" i="3" s="1"/>
  <c r="B19" i="2"/>
  <c r="D19" i="2" s="1"/>
  <c r="E15" i="2"/>
  <c r="D15" i="2"/>
  <c r="B15" i="2"/>
  <c r="E14" i="2"/>
  <c r="E18" i="2"/>
  <c r="E17" i="2"/>
  <c r="E16" i="2"/>
  <c r="D14" i="2"/>
  <c r="C14" i="2"/>
  <c r="C10" i="2"/>
  <c r="C15" i="2" s="1"/>
  <c r="B14" i="2"/>
  <c r="C13" i="1"/>
  <c r="C14" i="1"/>
  <c r="C15" i="1"/>
  <c r="C16" i="1"/>
  <c r="C17" i="1"/>
  <c r="C18" i="1"/>
  <c r="C19" i="1"/>
  <c r="C20" i="1"/>
  <c r="C21" i="1"/>
  <c r="C12" i="1"/>
  <c r="C22" i="1" s="1"/>
  <c r="B28" i="11" l="1"/>
  <c r="D28" i="11" s="1"/>
  <c r="E28" i="11" s="1"/>
  <c r="B27" i="9"/>
  <c r="D27" i="9" s="1"/>
  <c r="B28" i="9" s="1"/>
  <c r="D28" i="9" s="1"/>
  <c r="B29" i="9" s="1"/>
  <c r="D19" i="9"/>
  <c r="B20" i="9" s="1"/>
  <c r="E21" i="7"/>
  <c r="B22" i="7" s="1"/>
  <c r="G22" i="7" s="1"/>
  <c r="G21" i="7"/>
  <c r="E31" i="5"/>
  <c r="B32" i="5" s="1"/>
  <c r="D32" i="5" s="1"/>
  <c r="N13" i="5"/>
  <c r="K14" i="5" s="1"/>
  <c r="M14" i="5" s="1"/>
  <c r="E15" i="5"/>
  <c r="E21" i="3"/>
  <c r="E22" i="3" s="1"/>
  <c r="E23" i="3" s="1"/>
  <c r="E24" i="3" s="1"/>
  <c r="E25" i="3" s="1"/>
  <c r="E26" i="3" s="1"/>
  <c r="E27" i="3" s="1"/>
  <c r="E28" i="3" s="1"/>
  <c r="E14" i="3"/>
  <c r="B21" i="3"/>
  <c r="B22" i="3" s="1"/>
  <c r="B23" i="3" s="1"/>
  <c r="B25" i="3" s="1"/>
  <c r="B26" i="3" s="1"/>
  <c r="B27" i="3" s="1"/>
  <c r="B28" i="3" s="1"/>
  <c r="B14" i="3"/>
  <c r="C18" i="2"/>
  <c r="C17" i="2"/>
  <c r="C16" i="2"/>
  <c r="B16" i="2"/>
  <c r="B23" i="1"/>
  <c r="E22" i="7" l="1"/>
  <c r="B23" i="7" s="1"/>
  <c r="G23" i="7" s="1"/>
  <c r="B29" i="11"/>
  <c r="D29" i="11" s="1"/>
  <c r="E29" i="11" s="1"/>
  <c r="D29" i="9"/>
  <c r="B30" i="9" s="1"/>
  <c r="E32" i="5"/>
  <c r="B33" i="5" s="1"/>
  <c r="D33" i="5" s="1"/>
  <c r="N14" i="5"/>
  <c r="K15" i="5" s="1"/>
  <c r="M15" i="5" s="1"/>
  <c r="G15" i="5"/>
  <c r="H15" i="5" s="1"/>
  <c r="D16" i="2"/>
  <c r="E23" i="7" l="1"/>
  <c r="B24" i="7" s="1"/>
  <c r="G24" i="7" s="1"/>
  <c r="B30" i="11"/>
  <c r="D30" i="11" s="1"/>
  <c r="E30" i="11" s="1"/>
  <c r="E24" i="7"/>
  <c r="B25" i="7" s="1"/>
  <c r="G25" i="7" s="1"/>
  <c r="E33" i="5"/>
  <c r="B34" i="5" s="1"/>
  <c r="N15" i="5"/>
  <c r="K16" i="5" s="1"/>
  <c r="M16" i="5" s="1"/>
  <c r="E16" i="5"/>
  <c r="B17" i="2"/>
  <c r="B31" i="11" l="1"/>
  <c r="D31" i="11" s="1"/>
  <c r="E25" i="7"/>
  <c r="B26" i="7" s="1"/>
  <c r="G26" i="7" s="1"/>
  <c r="N16" i="5"/>
  <c r="K17" i="5" s="1"/>
  <c r="G16" i="5"/>
  <c r="H16" i="5" s="1"/>
  <c r="E17" i="5" s="1"/>
  <c r="D17" i="2"/>
  <c r="B18" i="2"/>
  <c r="E31" i="11" l="1"/>
  <c r="E26" i="7"/>
  <c r="B27" i="7" s="1"/>
  <c r="G27" i="7" s="1"/>
  <c r="D18" i="2"/>
  <c r="B32" i="11" l="1"/>
  <c r="E27" i="7"/>
  <c r="B28" i="7" s="1"/>
  <c r="G28" i="7" s="1"/>
  <c r="D32" i="11" l="1"/>
  <c r="E32" i="11" s="1"/>
  <c r="E28" i="7"/>
  <c r="B29" i="7" s="1"/>
  <c r="G29" i="7" s="1"/>
  <c r="B33" i="11" l="1"/>
  <c r="E29" i="7"/>
  <c r="B30" i="7" s="1"/>
  <c r="G30" i="7" s="1"/>
  <c r="D33" i="11" l="1"/>
  <c r="E33" i="11" s="1"/>
  <c r="E30" i="7"/>
  <c r="B31" i="7" s="1"/>
  <c r="G31" i="7" s="1"/>
  <c r="B34" i="11" l="1"/>
  <c r="E31" i="7"/>
  <c r="B32" i="7" s="1"/>
  <c r="G32" i="7" s="1"/>
  <c r="D34" i="11" l="1"/>
  <c r="E34" i="11" s="1"/>
  <c r="B35" i="11" s="1"/>
  <c r="E32" i="7"/>
  <c r="B33" i="7" s="1"/>
  <c r="G33" i="7" s="1"/>
  <c r="D35" i="11" l="1"/>
  <c r="E35" i="11"/>
  <c r="D33" i="7"/>
  <c r="E33" i="7" s="1"/>
  <c r="B34" i="7" s="1"/>
  <c r="G34" i="7" s="1"/>
  <c r="B36" i="11" l="1"/>
  <c r="D34" i="7"/>
  <c r="E34" i="7" s="1"/>
  <c r="B35" i="7" s="1"/>
  <c r="G35" i="7" s="1"/>
  <c r="D36" i="11" l="1"/>
  <c r="E36" i="11" s="1"/>
  <c r="D35" i="7"/>
  <c r="E35" i="7" s="1"/>
  <c r="B36" i="7" s="1"/>
  <c r="G36" i="7" s="1"/>
  <c r="B37" i="11" l="1"/>
  <c r="D36" i="7"/>
  <c r="E36" i="7" s="1"/>
  <c r="B37" i="7" s="1"/>
  <c r="G37" i="7" s="1"/>
  <c r="D37" i="11" l="1"/>
  <c r="E37" i="11" s="1"/>
  <c r="D37" i="7"/>
  <c r="E37" i="7" s="1"/>
  <c r="B38" i="7" s="1"/>
  <c r="G38" i="7" s="1"/>
  <c r="B38" i="11" l="1"/>
  <c r="D38" i="7"/>
  <c r="E38" i="7" s="1"/>
  <c r="B39" i="7" s="1"/>
  <c r="G39" i="7" s="1"/>
  <c r="D38" i="11" l="1"/>
  <c r="E38" i="11" s="1"/>
  <c r="D39" i="7"/>
  <c r="E39" i="7" s="1"/>
  <c r="B40" i="7" s="1"/>
  <c r="G40" i="7" s="1"/>
  <c r="B39" i="11" l="1"/>
  <c r="D40" i="7"/>
  <c r="E40" i="7" s="1"/>
  <c r="B41" i="7" s="1"/>
  <c r="G41" i="7" s="1"/>
  <c r="D39" i="11" l="1"/>
  <c r="E39" i="11" s="1"/>
  <c r="D41" i="7"/>
  <c r="E41" i="7" s="1"/>
  <c r="B42" i="7" s="1"/>
  <c r="G42" i="7" s="1"/>
  <c r="B40" i="11" l="1"/>
  <c r="D42" i="7"/>
  <c r="E42" i="7" s="1"/>
  <c r="B43" i="7" s="1"/>
  <c r="G43" i="7" s="1"/>
  <c r="D40" i="11" l="1"/>
  <c r="E40" i="11" s="1"/>
  <c r="D43" i="7"/>
  <c r="E43" i="7" s="1"/>
  <c r="B44" i="7" s="1"/>
  <c r="G44" i="7" s="1"/>
  <c r="B41" i="11" l="1"/>
  <c r="D44" i="7"/>
  <c r="E44" i="7" s="1"/>
  <c r="B45" i="7" s="1"/>
  <c r="G45" i="7" s="1"/>
  <c r="D41" i="11" l="1"/>
  <c r="E41" i="11" s="1"/>
  <c r="D45" i="7"/>
  <c r="E45" i="7" s="1"/>
  <c r="B46" i="7" s="1"/>
  <c r="G46" i="7" s="1"/>
  <c r="B42" i="11" l="1"/>
  <c r="D46" i="7"/>
  <c r="E46" i="7" s="1"/>
  <c r="B47" i="7" s="1"/>
  <c r="G47" i="7" s="1"/>
  <c r="D42" i="11" l="1"/>
  <c r="E42" i="11" s="1"/>
  <c r="D47" i="7"/>
  <c r="E47" i="7" s="1"/>
  <c r="B48" i="7" s="1"/>
  <c r="G48" i="7" s="1"/>
  <c r="B43" i="11" l="1"/>
  <c r="D48" i="7"/>
  <c r="E48" i="7" s="1"/>
  <c r="B49" i="7" s="1"/>
  <c r="G49" i="7" s="1"/>
  <c r="D43" i="11" l="1"/>
  <c r="E43" i="11" s="1"/>
  <c r="D49" i="7"/>
  <c r="E49" i="7" s="1"/>
  <c r="B50" i="7" s="1"/>
  <c r="G50" i="7" s="1"/>
  <c r="B44" i="11" l="1"/>
  <c r="D50" i="7"/>
  <c r="E50" i="7" s="1"/>
  <c r="B51" i="7" s="1"/>
  <c r="G51" i="7" s="1"/>
  <c r="D44" i="11" l="1"/>
  <c r="E44" i="11" s="1"/>
  <c r="B45" i="11" s="1"/>
  <c r="D51" i="7"/>
  <c r="E51" i="7" s="1"/>
  <c r="B52" i="7" s="1"/>
  <c r="G52" i="7" s="1"/>
  <c r="D45" i="11" l="1"/>
  <c r="E45" i="11"/>
  <c r="D52" i="7"/>
  <c r="E52" i="7" s="1"/>
  <c r="B53" i="7" s="1"/>
  <c r="G53" i="7" s="1"/>
  <c r="B46" i="11" l="1"/>
  <c r="D53" i="7"/>
  <c r="E53" i="7" s="1"/>
  <c r="B54" i="7" s="1"/>
  <c r="G54" i="7" s="1"/>
  <c r="D46" i="11" l="1"/>
  <c r="E46" i="11" s="1"/>
  <c r="D54" i="7"/>
  <c r="E54" i="7" s="1"/>
  <c r="B55" i="7" s="1"/>
  <c r="G55" i="7" s="1"/>
  <c r="B47" i="11" l="1"/>
  <c r="D55" i="7"/>
  <c r="E55" i="7" s="1"/>
  <c r="B56" i="7" s="1"/>
  <c r="G56" i="7" s="1"/>
  <c r="D47" i="11" l="1"/>
  <c r="E47" i="11" s="1"/>
  <c r="D56" i="7"/>
  <c r="E56" i="7" s="1"/>
  <c r="B57" i="7" s="1"/>
  <c r="G57" i="7" s="1"/>
  <c r="B48" i="11" l="1"/>
  <c r="D57" i="7"/>
  <c r="E57" i="7" s="1"/>
  <c r="B58" i="7" s="1"/>
  <c r="G58" i="7" s="1"/>
  <c r="D48" i="11" l="1"/>
  <c r="E48" i="11" s="1"/>
  <c r="D58" i="7"/>
  <c r="E58" i="7" s="1"/>
  <c r="B59" i="7" s="1"/>
  <c r="G59" i="7" s="1"/>
  <c r="B49" i="11" l="1"/>
  <c r="D59" i="7"/>
  <c r="E59" i="7" s="1"/>
  <c r="B60" i="7" s="1"/>
  <c r="G60" i="7" s="1"/>
  <c r="D49" i="11" l="1"/>
  <c r="E49" i="11" s="1"/>
  <c r="D60" i="7"/>
  <c r="E60" i="7" s="1"/>
  <c r="B61" i="7" s="1"/>
  <c r="G61" i="7" s="1"/>
  <c r="B50" i="11" l="1"/>
  <c r="D61" i="7"/>
  <c r="E61" i="7" s="1"/>
  <c r="B62" i="7" s="1"/>
  <c r="G62" i="7" s="1"/>
  <c r="D50" i="11" l="1"/>
  <c r="E50" i="11" s="1"/>
  <c r="D62" i="7"/>
  <c r="E62" i="7" s="1"/>
  <c r="B63" i="7" s="1"/>
  <c r="G63" i="7" s="1"/>
  <c r="B51" i="11" l="1"/>
  <c r="D63" i="7"/>
  <c r="E63" i="7" s="1"/>
  <c r="B64" i="7" s="1"/>
  <c r="G64" i="7" s="1"/>
  <c r="D51" i="11" l="1"/>
  <c r="E51" i="11" s="1"/>
  <c r="D64" i="7"/>
  <c r="E64" i="7" s="1"/>
  <c r="B65" i="7" s="1"/>
  <c r="G65" i="7" s="1"/>
  <c r="B52" i="11" l="1"/>
  <c r="D65" i="7"/>
  <c r="E65" i="7" s="1"/>
  <c r="B66" i="7" s="1"/>
  <c r="G66" i="7" s="1"/>
  <c r="D52" i="11" l="1"/>
  <c r="E52" i="11" s="1"/>
  <c r="B53" i="11" s="1"/>
  <c r="D53" i="11" s="1"/>
  <c r="E53" i="11" s="1"/>
  <c r="B54" i="11" s="1"/>
  <c r="D66" i="7"/>
  <c r="E66" i="7" s="1"/>
  <c r="B67" i="7" s="1"/>
  <c r="G67" i="7" s="1"/>
  <c r="D54" i="11" l="1"/>
  <c r="E54" i="11"/>
  <c r="B55" i="11" s="1"/>
  <c r="D55" i="11" l="1"/>
  <c r="E55" i="11" s="1"/>
  <c r="B56" i="11" s="1"/>
  <c r="D56" i="11" l="1"/>
  <c r="E56" i="11"/>
  <c r="B57" i="11" s="1"/>
  <c r="D57" i="11" l="1"/>
  <c r="E57" i="11"/>
  <c r="B58" i="11" s="1"/>
  <c r="D58" i="11" l="1"/>
  <c r="E58" i="11"/>
  <c r="B59" i="11" s="1"/>
  <c r="D59" i="11" l="1"/>
  <c r="E59" i="11"/>
  <c r="B60" i="11" s="1"/>
  <c r="D60" i="11" l="1"/>
  <c r="E60" i="11"/>
  <c r="B61" i="11" s="1"/>
  <c r="D61" i="11" l="1"/>
  <c r="E61" i="11" s="1"/>
  <c r="B62" i="11" s="1"/>
  <c r="D62" i="11" l="1"/>
  <c r="E62" i="11" s="1"/>
  <c r="B63" i="11" s="1"/>
  <c r="D63" i="11" l="1"/>
  <c r="E63" i="11"/>
  <c r="B64" i="11" s="1"/>
  <c r="D64" i="11" l="1"/>
  <c r="E64" i="11" s="1"/>
  <c r="B65" i="11" s="1"/>
  <c r="D65" i="11" l="1"/>
  <c r="E65" i="11" s="1"/>
  <c r="B66" i="11" l="1"/>
  <c r="D66" i="11" s="1"/>
  <c r="E66" i="11" s="1"/>
  <c r="B67" i="11" l="1"/>
  <c r="D67" i="11" s="1"/>
  <c r="E67" i="11" s="1"/>
  <c r="B68" i="11" l="1"/>
  <c r="D68" i="11" s="1"/>
  <c r="E68" i="11" s="1"/>
  <c r="B69" i="11" l="1"/>
  <c r="D69" i="11" s="1"/>
  <c r="E69" i="11" s="1"/>
  <c r="B70" i="11" l="1"/>
  <c r="D70" i="11" s="1"/>
  <c r="E70" i="11" s="1"/>
  <c r="B71" i="11" l="1"/>
  <c r="D71" i="11" s="1"/>
  <c r="E71" i="11" s="1"/>
  <c r="B72" i="11" l="1"/>
  <c r="D72" i="11" s="1"/>
  <c r="E72" i="11" s="1"/>
  <c r="B73" i="11" s="1"/>
  <c r="D73" i="11" l="1"/>
  <c r="E73" i="11"/>
</calcChain>
</file>

<file path=xl/sharedStrings.xml><?xml version="1.0" encoding="utf-8"?>
<sst xmlns="http://schemas.openxmlformats.org/spreadsheetml/2006/main" count="277" uniqueCount="191">
  <si>
    <t>Basic Financial Analysis</t>
  </si>
  <si>
    <t>Basic Financial Analysis Exercises</t>
  </si>
  <si>
    <t xml:space="preserve">1. You are offered an asset costing $600 that has cash flows of $100 at the end of each of the next ten years. </t>
  </si>
  <si>
    <t xml:space="preserve">b. What is the IRR of the asset? </t>
  </si>
  <si>
    <t xml:space="preserve">a. If the appropriate discount rate for the asset is 8%, should you purchase it? </t>
  </si>
  <si>
    <t>Discount rate</t>
  </si>
  <si>
    <t>Year</t>
  </si>
  <si>
    <t>Question 1:</t>
  </si>
  <si>
    <t xml:space="preserve">Solution: </t>
  </si>
  <si>
    <t>Cash flow</t>
  </si>
  <si>
    <t>IRR</t>
  </si>
  <si>
    <t>Discounted</t>
  </si>
  <si>
    <t xml:space="preserve">a. </t>
  </si>
  <si>
    <t>b.</t>
  </si>
  <si>
    <t xml:space="preserve">Question 2: </t>
  </si>
  <si>
    <t xml:space="preserve">You just took a $10,000, 5 year mortgage loan. Payments at the end of each yaer are flat (equal in every year) at an interest rate of 15%. </t>
  </si>
  <si>
    <t>Principal</t>
  </si>
  <si>
    <t>n (years)</t>
  </si>
  <si>
    <t xml:space="preserve">interest </t>
  </si>
  <si>
    <t>Calculate the appropriate loan amortization table, showing the breakdown in each year between principal and interest</t>
  </si>
  <si>
    <t>Loan Table</t>
  </si>
  <si>
    <t>yearly payment</t>
  </si>
  <si>
    <t xml:space="preserve"> </t>
  </si>
  <si>
    <t>Solution:</t>
  </si>
  <si>
    <t>Payment at 
EOY</t>
  </si>
  <si>
    <t>interest</t>
  </si>
  <si>
    <t>Principal at 
BOY</t>
  </si>
  <si>
    <t>Amortization Loan Table</t>
  </si>
  <si>
    <t>Principal
Return</t>
  </si>
  <si>
    <t xml:space="preserve">Question 3: </t>
  </si>
  <si>
    <t>The cost of the investment is $1,000</t>
  </si>
  <si>
    <t>a.</t>
  </si>
  <si>
    <t xml:space="preserve">You are offered an investment with the following conditions: </t>
  </si>
  <si>
    <t>If your discount rate is 15%, calculate the smallest X that would entice you to purchase the asset.</t>
  </si>
  <si>
    <t>Example:</t>
  </si>
  <si>
    <t>Discount Rate</t>
  </si>
  <si>
    <t>Initial Payment</t>
  </si>
  <si>
    <t>NPV</t>
  </si>
  <si>
    <t>The investment pays out a sum X at the end of the first year; This payout grows at the rate of 10% per year for 11 years.</t>
  </si>
  <si>
    <t>For example, as you can see in the followng display, X = $100 is too small - the NPV is negative:</t>
  </si>
  <si>
    <t>The NPV should be equal to or a little more than 0 for the smallest X that should entice us to  purchase the asset</t>
  </si>
  <si>
    <t>we use goal seek to find the answer</t>
  </si>
  <si>
    <t>&lt;-- the smallest X</t>
  </si>
  <si>
    <t xml:space="preserve">The following cash flow patern has two IRRs. Use excel to draw a graph of the NPV of these cash flows as a function of the discount rate. . </t>
  </si>
  <si>
    <t>Then use the IRR function to identiy the two IRRs. Would you invest in this project if the opportunity cost were 20%?</t>
  </si>
  <si>
    <t>YEAR</t>
  </si>
  <si>
    <t>CASH FLOW</t>
  </si>
  <si>
    <r>
      <t>IRR</t>
    </r>
    <r>
      <rPr>
        <vertAlign val="subscript"/>
        <sz val="11"/>
        <color theme="1"/>
        <rFont val="Aptos Narrow"/>
        <family val="2"/>
        <scheme val="minor"/>
      </rPr>
      <t>1</t>
    </r>
  </si>
  <si>
    <r>
      <t>IRR</t>
    </r>
    <r>
      <rPr>
        <vertAlign val="subscript"/>
        <sz val="11"/>
        <color theme="1"/>
        <rFont val="Aptos Narrow"/>
        <family val="2"/>
        <scheme val="minor"/>
      </rPr>
      <t>2</t>
    </r>
  </si>
  <si>
    <t>Opp. Cost</t>
  </si>
  <si>
    <t>Data Table</t>
  </si>
  <si>
    <t>Discount</t>
  </si>
  <si>
    <t>Npv</t>
  </si>
  <si>
    <t xml:space="preserve">Question 4: </t>
  </si>
  <si>
    <t xml:space="preserve">Question 5: </t>
  </si>
  <si>
    <t xml:space="preserve">In this exercise we solve iteratively for th einternal rate of return. Consider an investment that costs 800 </t>
  </si>
  <si>
    <t xml:space="preserve">and has cash flows of 300, 200, 150, 122, and 133 in yaers 1 to 5. </t>
  </si>
  <si>
    <t>Setting up the loan amortization table below sows that 10% is greater than the RR (since the retunr of the loan amortization table</t>
  </si>
  <si>
    <t xml:space="preserve">below shows that 10% is greater than the IRR (since the return of principal at the endo f year 5 is less than the principal at the beginning of the year.) </t>
  </si>
  <si>
    <t>IRR?</t>
  </si>
  <si>
    <t>Division of payment
 between</t>
  </si>
  <si>
    <t>CF</t>
  </si>
  <si>
    <t>Principal
at BOY</t>
  </si>
  <si>
    <t>Payment 
EOY</t>
  </si>
  <si>
    <t>Interest</t>
  </si>
  <si>
    <t>&lt; - should be zero for IRR</t>
  </si>
  <si>
    <t>Setting cell B1 to 3% shows that 3% is less than the IRR.</t>
  </si>
  <si>
    <t>since the retunr of principal at the end of year 5 is greater than the principal at the beginning of year 5</t>
  </si>
  <si>
    <t>By changing the IRR in cell B1, find the IRR of this investment</t>
  </si>
  <si>
    <t>using goal seek the IRR is:</t>
  </si>
  <si>
    <t xml:space="preserve">Question 7: </t>
  </si>
  <si>
    <t>Calculate the flat annual payment required to pay off a 13%, 5 year - mortgage loan of $100,000</t>
  </si>
  <si>
    <t xml:space="preserve">Question 8: </t>
  </si>
  <si>
    <t>You have just taken a car loan of 15,000. Th eloan is for 48 months at an annual interest rate of 15%.</t>
  </si>
  <si>
    <t>(which the bank translates to a monthly rate of 15%/12=1.25%)</t>
  </si>
  <si>
    <t>The 48 payments to be made at the end of each of the next 48 months are all equal.</t>
  </si>
  <si>
    <t>a. Calculate the monthly payment on the loan</t>
  </si>
  <si>
    <t xml:space="preserve">b. in a loan table calculate, for each month, the principal remainingo on th eloan at the beginning of </t>
  </si>
  <si>
    <t xml:space="preserve">the month and the split of that month's payment between interest and repaytment of principal. </t>
  </si>
  <si>
    <t xml:space="preserve">c.Show that the principal at the beginning of each month is the present value of the </t>
  </si>
  <si>
    <t>remaining loan payments at the loan interest rate (Use either NPV or PV functions).</t>
  </si>
  <si>
    <t>Periods</t>
  </si>
  <si>
    <t>Monthly Rate</t>
  </si>
  <si>
    <t>a. Monthly payment</t>
  </si>
  <si>
    <t>b. Loan Table</t>
  </si>
  <si>
    <t>Principal @BOM</t>
  </si>
  <si>
    <t>Payment @EOM</t>
  </si>
  <si>
    <t>c. PV</t>
  </si>
  <si>
    <t>or</t>
  </si>
  <si>
    <t>You are considering buying a car from  alocal auto dealer. The dealer offers you one of two</t>
  </si>
  <si>
    <t xml:space="preserve">payment options: </t>
  </si>
  <si>
    <t xml:space="preserve">you can choose a deferred payment plan. Paying the dealer 5,000 cash today and a payment of 1050 at the end of each of the next 30 months. </t>
  </si>
  <si>
    <t xml:space="preserve">AS an alternative yo the dealer financingm you have approached a local bank, which is willing to give you a car loan of 25,000 at the rate fo 1.25% per month. </t>
  </si>
  <si>
    <t xml:space="preserve">a. Assuming that 1.25% is the opportunity cost, calculate the present value of all the payments on the dealer's deferred payment plan. </t>
  </si>
  <si>
    <t xml:space="preserve">b. What is the effective interest rate being charged by the dealer? </t>
  </si>
  <si>
    <t>Do this calculaation by preparing a spreadsheet like the one below (only part of the spreadsheet is hown - you have to do this calculations for all 30 months</t>
  </si>
  <si>
    <t>Month</t>
  </si>
  <si>
    <t>Cash Payment</t>
  </si>
  <si>
    <t>Difference</t>
  </si>
  <si>
    <t>you can pay 30,000 cash</t>
  </si>
  <si>
    <t>Cash payment</t>
  </si>
  <si>
    <t>Payment under 
deferred payment plan</t>
  </si>
  <si>
    <t>IRR differential</t>
  </si>
  <si>
    <t>Cash</t>
  </si>
  <si>
    <t>Deferred PP</t>
  </si>
  <si>
    <t>EAIR</t>
  </si>
  <si>
    <t xml:space="preserve">best to pay cash </t>
  </si>
  <si>
    <t xml:space="preserve">Question 9: </t>
  </si>
  <si>
    <t>You are considering a savings plan that calls for a deposit of 15,000</t>
  </si>
  <si>
    <t xml:space="preserve">at the end of each of the next five years. If the plan offers an interest rate of 10%, </t>
  </si>
  <si>
    <t>how much will you accumulate at the end of year 5? Do this caclulation by completing the spreadsheet below.</t>
  </si>
  <si>
    <t xml:space="preserve">This spreadsheet does the calculation twice - once using the FV function and once using  a simple table that shows the accumlation at the beginning of each year. </t>
  </si>
  <si>
    <t xml:space="preserve">Annualy payment: </t>
  </si>
  <si>
    <t>Interest rate</t>
  </si>
  <si>
    <t>Number of years</t>
  </si>
  <si>
    <t>Total value</t>
  </si>
  <si>
    <t>Accumulation at beginning of year</t>
  </si>
  <si>
    <t>payment at EOY</t>
  </si>
  <si>
    <t>Annual Interest</t>
  </si>
  <si>
    <t xml:space="preserve">Question 10: </t>
  </si>
  <si>
    <t xml:space="preserve">Question 11: </t>
  </si>
  <si>
    <t>Solution :</t>
  </si>
  <si>
    <t xml:space="preserve">Question 12: </t>
  </si>
  <si>
    <t>Monthly Payment</t>
  </si>
  <si>
    <t>Number of months</t>
  </si>
  <si>
    <t>Effective Monthly Return</t>
  </si>
  <si>
    <t>Accumulation</t>
  </si>
  <si>
    <t>you would now have accumulated 85,000. Assuming that these deposits were made at the beginning of each month for a period of 120 months,</t>
  </si>
  <si>
    <t xml:space="preserve">calculate EAR fund investors got. </t>
  </si>
  <si>
    <t>solution:</t>
  </si>
  <si>
    <t xml:space="preserve">Either or </t>
  </si>
  <si>
    <t>d19 *12</t>
  </si>
  <si>
    <t>(1+d19)^12 -1</t>
  </si>
  <si>
    <t>A mutual fund has been advertising that, had you  deposited 250 per month in the fund for the last 10 years,</t>
  </si>
  <si>
    <t>using goal seek to find the answer</t>
  </si>
  <si>
    <t xml:space="preserve">Question 13: </t>
  </si>
  <si>
    <t>Make the following assumptions:</t>
  </si>
  <si>
    <t xml:space="preserve">all savings draw compound interest of 10% per year. </t>
  </si>
  <si>
    <t xml:space="preserve">you make the first payment today and the last payment on the day you turn  64 (30 payments) </t>
  </si>
  <si>
    <t>you make the first withdrawal when you turn 65 and the last withdrawal when you turn 84 (20 payments)</t>
  </si>
  <si>
    <t xml:space="preserve">you would like to have an income of 100,000 per year for the next 20 years. </t>
  </si>
  <si>
    <t>Calculate how much you would have t o save between now and age 65 in order to finance your retirement income.</t>
  </si>
  <si>
    <t>Retirement</t>
  </si>
  <si>
    <t>Retirement account balance
BOY</t>
  </si>
  <si>
    <t>you turned 35 and started saving for retirement . Once you retire in 30 years (65 y/o)</t>
  </si>
  <si>
    <t xml:space="preserve">withdrawals </t>
  </si>
  <si>
    <t>Deposit at
 BOY</t>
  </si>
  <si>
    <t>Interest 
earned that year</t>
  </si>
  <si>
    <t>Total in 
account at EOY</t>
  </si>
  <si>
    <t>annual deposit</t>
  </si>
  <si>
    <t xml:space="preserve">period withdrawals </t>
  </si>
  <si>
    <t>period of payments</t>
  </si>
  <si>
    <t>PV of withdrawals</t>
  </si>
  <si>
    <t>used solver to find the solution</t>
  </si>
  <si>
    <t xml:space="preserve">Question 14: </t>
  </si>
  <si>
    <t>currently have 25,000 in the bank, in savings account that draws 5% interest. Your business needs 25,000</t>
  </si>
  <si>
    <t xml:space="preserve">and you are consdiering two options: </t>
  </si>
  <si>
    <t xml:space="preserve">a. use the money in your savings </t>
  </si>
  <si>
    <t>b. borrow the money from the bank at 6%, leaving the money in the savings account</t>
  </si>
  <si>
    <t xml:space="preserve">your financial analyst says that solution b is better. </t>
  </si>
  <si>
    <t xml:space="preserve">The logic: the sum of the interest paid on the 6% loan is lower the interest earned at the same time on the $25,000 deposit. </t>
  </si>
  <si>
    <t xml:space="preserve">The calculations are illustrated below. Show that this logic is wrong. </t>
  </si>
  <si>
    <t>Financial anlyst calculations</t>
  </si>
  <si>
    <t>interest earned</t>
  </si>
  <si>
    <t xml:space="preserve">interest paid </t>
  </si>
  <si>
    <t xml:space="preserve">intial deposit </t>
  </si>
  <si>
    <t>6% loan</t>
  </si>
  <si>
    <t>payments</t>
  </si>
  <si>
    <t>principal 
at BOY</t>
  </si>
  <si>
    <t>principal 
repayment</t>
  </si>
  <si>
    <t>Total interest paid</t>
  </si>
  <si>
    <t>Savings Account</t>
  </si>
  <si>
    <t>In savings account
at the BOY</t>
  </si>
  <si>
    <t>End-year 
interest 
earned</t>
  </si>
  <si>
    <t>In account at 
end of year</t>
  </si>
  <si>
    <t>total interest earned</t>
  </si>
  <si>
    <t>you avoid paying the total interest of 2,271.84 and the cost of borrowing, by saving the 25,000. you earn 2562 interest with little to no risk without making EOY payments.</t>
  </si>
  <si>
    <t xml:space="preserve">Question 15: </t>
  </si>
  <si>
    <t xml:space="preserve">Use Xirr to comput the irr of the following: </t>
  </si>
  <si>
    <t xml:space="preserve">Date </t>
  </si>
  <si>
    <t>Solutions:</t>
  </si>
  <si>
    <t>XIRR</t>
  </si>
  <si>
    <t>use XNPV, initial discount rate is 15%</t>
  </si>
  <si>
    <t>Date</t>
  </si>
  <si>
    <t>Cash Flow</t>
  </si>
  <si>
    <t>dicount rate</t>
  </si>
  <si>
    <t>xNPV</t>
  </si>
  <si>
    <t xml:space="preserve">Question 16/17: </t>
  </si>
  <si>
    <t>identify the two irr of the investment</t>
  </si>
  <si>
    <r>
      <t>IRR</t>
    </r>
    <r>
      <rPr>
        <b/>
        <vertAlign val="subscript"/>
        <sz val="11"/>
        <color theme="1"/>
        <rFont val="Aptos Narrow"/>
        <family val="2"/>
        <scheme val="minor"/>
      </rPr>
      <t>1</t>
    </r>
  </si>
  <si>
    <r>
      <t>IRR</t>
    </r>
    <r>
      <rPr>
        <b/>
        <vertAlign val="subscript"/>
        <sz val="11"/>
        <color theme="1"/>
        <rFont val="Aptos Narrow"/>
        <family val="2"/>
        <scheme val="minor"/>
      </rPr>
      <t>2</t>
    </r>
    <r>
      <rPr>
        <sz val="11"/>
        <color theme="1"/>
        <rFont val="Aptos Narrow"/>
        <family val="2"/>
        <scheme val="minor"/>
      </rPr>
      <t/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</si>
</sst>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[$$-409]* #,##0.00_);_([$$-409]* \(#,##0.00\);_([$$-409]* &quot;-&quot;??_);_(@_)"/>
    <numFmt numFmtId="165" formatCode=";;"/>
    <numFmt numFmtId="166" formatCode="0.00000%"/>
  </numFmts>
  <fonts count="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3"/>
      <name val="Aptos Narrow"/>
      <family val="2"/>
      <scheme val="minor"/>
    </font>
    <font>
      <vertAlign val="subscript"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vertAlign val="subscript"/>
      <sz val="11"/>
      <color theme="1"/>
      <name val="Aptos Narrow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C000"/>
        <bgColor indexed="64"/>
      </patternFill>
    </fill>
  </fills>
  <borders count="20">
    <border>
      <left/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137">
    <xf numFmtId="0" fontId="0" fillId="0" borderId="0" xfId="0"/>
    <xf numFmtId="0" fontId="3" fillId="0" borderId="0" xfId="0" applyFont="1"/>
    <xf numFmtId="9" fontId="0" fillId="0" borderId="0" xfId="0" applyNumberFormat="1"/>
    <xf numFmtId="0" fontId="2" fillId="0" borderId="0" xfId="0" applyFont="1"/>
    <xf numFmtId="0" fontId="4" fillId="0" borderId="0" xfId="0" applyFont="1"/>
    <xf numFmtId="9" fontId="3" fillId="0" borderId="0" xfId="0" applyNumberFormat="1" applyFont="1"/>
    <xf numFmtId="0" fontId="3" fillId="0" borderId="2" xfId="0" applyFont="1" applyBorder="1"/>
    <xf numFmtId="0" fontId="0" fillId="0" borderId="2" xfId="0" applyBorder="1"/>
    <xf numFmtId="0" fontId="0" fillId="0" borderId="3" xfId="0" applyBorder="1"/>
    <xf numFmtId="0" fontId="3" fillId="5" borderId="0" xfId="0" applyFont="1" applyFill="1"/>
    <xf numFmtId="9" fontId="3" fillId="6" borderId="0" xfId="0" applyNumberFormat="1" applyFont="1" applyFill="1"/>
    <xf numFmtId="0" fontId="3" fillId="7" borderId="0" xfId="0" applyFont="1" applyFill="1"/>
    <xf numFmtId="9" fontId="3" fillId="7" borderId="0" xfId="0" applyNumberFormat="1" applyFont="1" applyFill="1"/>
    <xf numFmtId="0" fontId="3" fillId="0" borderId="1" xfId="0" applyFont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3" fillId="0" borderId="0" xfId="0" applyFont="1" applyAlignment="1">
      <alignment wrapText="1"/>
    </xf>
    <xf numFmtId="9" fontId="0" fillId="0" borderId="0" xfId="0" applyNumberFormat="1" applyAlignment="1">
      <alignment wrapText="1"/>
    </xf>
    <xf numFmtId="0" fontId="3" fillId="0" borderId="1" xfId="0" applyFont="1" applyBorder="1" applyAlignment="1">
      <alignment wrapText="1"/>
    </xf>
    <xf numFmtId="0" fontId="0" fillId="0" borderId="3" xfId="0" applyBorder="1" applyAlignment="1">
      <alignment wrapText="1"/>
    </xf>
    <xf numFmtId="0" fontId="3" fillId="0" borderId="0" xfId="0" applyFont="1" applyAlignment="1">
      <alignment horizontal="center"/>
    </xf>
    <xf numFmtId="8" fontId="0" fillId="0" borderId="0" xfId="0" applyNumberFormat="1"/>
    <xf numFmtId="164" fontId="0" fillId="0" borderId="0" xfId="0" applyNumberFormat="1"/>
    <xf numFmtId="164" fontId="0" fillId="0" borderId="3" xfId="0" applyNumberFormat="1" applyBorder="1"/>
    <xf numFmtId="0" fontId="2" fillId="8" borderId="2" xfId="0" applyFont="1" applyFill="1" applyBorder="1" applyAlignment="1">
      <alignment horizontal="center"/>
    </xf>
    <xf numFmtId="0" fontId="2" fillId="8" borderId="2" xfId="0" applyFont="1" applyFill="1" applyBorder="1" applyAlignment="1">
      <alignment horizontal="center" wrapText="1"/>
    </xf>
    <xf numFmtId="0" fontId="0" fillId="9" borderId="0" xfId="0" applyFill="1"/>
    <xf numFmtId="0" fontId="3" fillId="9" borderId="2" xfId="0" applyFont="1" applyFill="1" applyBorder="1"/>
    <xf numFmtId="164" fontId="0" fillId="9" borderId="0" xfId="0" applyNumberFormat="1" applyFill="1"/>
    <xf numFmtId="0" fontId="0" fillId="9" borderId="3" xfId="0" applyFill="1" applyBorder="1"/>
    <xf numFmtId="164" fontId="0" fillId="9" borderId="3" xfId="0" applyNumberFormat="1" applyFill="1" applyBorder="1"/>
    <xf numFmtId="0" fontId="3" fillId="10" borderId="0" xfId="0" applyFont="1" applyFill="1"/>
    <xf numFmtId="0" fontId="0" fillId="10" borderId="0" xfId="0" applyFill="1"/>
    <xf numFmtId="9" fontId="0" fillId="10" borderId="0" xfId="0" applyNumberFormat="1" applyFill="1"/>
    <xf numFmtId="164" fontId="0" fillId="10" borderId="0" xfId="0" applyNumberFormat="1" applyFill="1"/>
    <xf numFmtId="0" fontId="3" fillId="10" borderId="2" xfId="0" applyFont="1" applyFill="1" applyBorder="1"/>
    <xf numFmtId="0" fontId="0" fillId="10" borderId="3" xfId="0" applyFill="1" applyBorder="1"/>
    <xf numFmtId="164" fontId="0" fillId="10" borderId="3" xfId="0" applyNumberFormat="1" applyFill="1" applyBorder="1"/>
    <xf numFmtId="164" fontId="0" fillId="2" borderId="0" xfId="0" applyNumberFormat="1" applyFill="1"/>
    <xf numFmtId="0" fontId="0" fillId="7" borderId="0" xfId="0" applyFill="1"/>
    <xf numFmtId="8" fontId="3" fillId="0" borderId="0" xfId="2" applyNumberFormat="1" applyFont="1" applyAlignment="1">
      <alignment wrapText="1"/>
    </xf>
    <xf numFmtId="44" fontId="0" fillId="0" borderId="0" xfId="1" applyFont="1"/>
    <xf numFmtId="165" fontId="0" fillId="0" borderId="0" xfId="1" applyNumberFormat="1" applyFont="1"/>
    <xf numFmtId="0" fontId="3" fillId="0" borderId="8" xfId="0" applyFont="1" applyBorder="1"/>
    <xf numFmtId="0" fontId="3" fillId="0" borderId="9" xfId="0" applyFont="1" applyBorder="1"/>
    <xf numFmtId="0" fontId="0" fillId="0" borderId="10" xfId="0" applyBorder="1"/>
    <xf numFmtId="10" fontId="0" fillId="0" borderId="0" xfId="0" applyNumberFormat="1"/>
    <xf numFmtId="0" fontId="0" fillId="0" borderId="14" xfId="0" applyBorder="1"/>
    <xf numFmtId="0" fontId="3" fillId="0" borderId="15" xfId="0" applyFont="1" applyBorder="1"/>
    <xf numFmtId="0" fontId="3" fillId="0" borderId="4" xfId="0" applyFont="1" applyBorder="1"/>
    <xf numFmtId="0" fontId="0" fillId="0" borderId="8" xfId="0" applyBorder="1"/>
    <xf numFmtId="0" fontId="0" fillId="0" borderId="9" xfId="0" applyBorder="1"/>
    <xf numFmtId="10" fontId="3" fillId="5" borderId="0" xfId="0" applyNumberFormat="1" applyFont="1" applyFill="1"/>
    <xf numFmtId="10" fontId="0" fillId="10" borderId="0" xfId="0" applyNumberFormat="1" applyFill="1"/>
    <xf numFmtId="0" fontId="2" fillId="8" borderId="0" xfId="0" applyFont="1" applyFill="1"/>
    <xf numFmtId="8" fontId="3" fillId="0" borderId="0" xfId="0" applyNumberFormat="1" applyFont="1"/>
    <xf numFmtId="8" fontId="0" fillId="14" borderId="0" xfId="0" applyNumberFormat="1" applyFill="1"/>
    <xf numFmtId="164" fontId="3" fillId="0" borderId="0" xfId="0" applyNumberFormat="1" applyFont="1"/>
    <xf numFmtId="0" fontId="3" fillId="0" borderId="19" xfId="0" applyFont="1" applyBorder="1"/>
    <xf numFmtId="8" fontId="3" fillId="10" borderId="0" xfId="0" applyNumberFormat="1" applyFont="1" applyFill="1"/>
    <xf numFmtId="10" fontId="3" fillId="10" borderId="0" xfId="2" applyNumberFormat="1" applyFont="1" applyFill="1"/>
    <xf numFmtId="10" fontId="3" fillId="10" borderId="0" xfId="0" applyNumberFormat="1" applyFont="1" applyFill="1"/>
    <xf numFmtId="0" fontId="3" fillId="0" borderId="0" xfId="0" applyFont="1" applyAlignment="1">
      <alignment horizontal="center" wrapText="1"/>
    </xf>
    <xf numFmtId="3" fontId="0" fillId="0" borderId="2" xfId="0" applyNumberFormat="1" applyBorder="1"/>
    <xf numFmtId="3" fontId="0" fillId="0" borderId="0" xfId="0" applyNumberFormat="1"/>
    <xf numFmtId="3" fontId="0" fillId="0" borderId="3" xfId="0" applyNumberFormat="1" applyBorder="1"/>
    <xf numFmtId="164" fontId="0" fillId="16" borderId="0" xfId="0" applyNumberFormat="1" applyFill="1"/>
    <xf numFmtId="166" fontId="0" fillId="0" borderId="0" xfId="2" applyNumberFormat="1" applyFont="1"/>
    <xf numFmtId="43" fontId="0" fillId="0" borderId="0" xfId="3" applyFont="1"/>
    <xf numFmtId="43" fontId="1" fillId="0" borderId="0" xfId="3" applyFont="1"/>
    <xf numFmtId="43" fontId="1" fillId="10" borderId="0" xfId="3" applyFont="1" applyFill="1"/>
    <xf numFmtId="8" fontId="0" fillId="10" borderId="0" xfId="0" applyNumberFormat="1" applyFill="1"/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15" fontId="0" fillId="0" borderId="0" xfId="0" applyNumberFormat="1"/>
    <xf numFmtId="164" fontId="0" fillId="0" borderId="0" xfId="3" applyNumberFormat="1" applyFont="1"/>
    <xf numFmtId="0" fontId="2" fillId="5" borderId="0" xfId="0" applyFont="1" applyFill="1" applyAlignment="1">
      <alignment horizontal="center"/>
    </xf>
    <xf numFmtId="0" fontId="3" fillId="6" borderId="7" xfId="0" applyFont="1" applyFill="1" applyBorder="1" applyAlignment="1">
      <alignment horizontal="center"/>
    </xf>
    <xf numFmtId="0" fontId="2" fillId="3" borderId="0" xfId="0" applyFont="1" applyFill="1" applyAlignment="1">
      <alignment horizontal="center"/>
    </xf>
    <xf numFmtId="0" fontId="2" fillId="4" borderId="0" xfId="0" applyFont="1" applyFill="1" applyAlignment="1">
      <alignment horizontal="center"/>
    </xf>
    <xf numFmtId="0" fontId="3" fillId="6" borderId="0" xfId="0" applyFont="1" applyFill="1" applyAlignment="1">
      <alignment horizontal="center"/>
    </xf>
    <xf numFmtId="0" fontId="3" fillId="5" borderId="0" xfId="0" applyFont="1" applyFill="1" applyAlignment="1">
      <alignment horizontal="center"/>
    </xf>
    <xf numFmtId="0" fontId="3" fillId="7" borderId="0" xfId="0" applyFont="1" applyFill="1" applyAlignment="1">
      <alignment horizontal="center"/>
    </xf>
    <xf numFmtId="0" fontId="3" fillId="11" borderId="0" xfId="0" applyFont="1" applyFill="1" applyAlignment="1">
      <alignment horizontal="center"/>
    </xf>
    <xf numFmtId="0" fontId="3" fillId="10" borderId="0" xfId="0" applyFont="1" applyFill="1" applyAlignment="1">
      <alignment horizontal="center"/>
    </xf>
    <xf numFmtId="0" fontId="3" fillId="9" borderId="12" xfId="0" applyFont="1" applyFill="1" applyBorder="1" applyAlignment="1">
      <alignment horizontal="center" wrapText="1"/>
    </xf>
    <xf numFmtId="0" fontId="3" fillId="9" borderId="13" xfId="0" applyFont="1" applyFill="1" applyBorder="1" applyAlignment="1">
      <alignment horizontal="center"/>
    </xf>
    <xf numFmtId="0" fontId="3" fillId="6" borderId="11" xfId="0" applyFont="1" applyFill="1" applyBorder="1" applyAlignment="1">
      <alignment horizontal="center" vertical="center"/>
    </xf>
    <xf numFmtId="0" fontId="3" fillId="6" borderId="12" xfId="0" applyFont="1" applyFill="1" applyBorder="1" applyAlignment="1">
      <alignment horizontal="center" vertical="center"/>
    </xf>
    <xf numFmtId="0" fontId="3" fillId="6" borderId="18" xfId="0" applyFont="1" applyFill="1" applyBorder="1" applyAlignment="1">
      <alignment horizontal="center" vertical="center"/>
    </xf>
    <xf numFmtId="0" fontId="3" fillId="6" borderId="16" xfId="0" applyFont="1" applyFill="1" applyBorder="1" applyAlignment="1">
      <alignment horizontal="center" vertical="center"/>
    </xf>
    <xf numFmtId="0" fontId="3" fillId="9" borderId="16" xfId="0" applyFont="1" applyFill="1" applyBorder="1" applyAlignment="1">
      <alignment horizontal="center" wrapText="1"/>
    </xf>
    <xf numFmtId="0" fontId="3" fillId="9" borderId="17" xfId="0" applyFont="1" applyFill="1" applyBorder="1" applyAlignment="1">
      <alignment horizontal="center" wrapText="1"/>
    </xf>
    <xf numFmtId="0" fontId="2" fillId="1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15" borderId="0" xfId="0" applyFont="1" applyFill="1" applyAlignment="1">
      <alignment horizontal="center"/>
    </xf>
    <xf numFmtId="0" fontId="3" fillId="12" borderId="0" xfId="0" applyFont="1" applyFill="1" applyAlignment="1">
      <alignment horizontal="center"/>
    </xf>
    <xf numFmtId="0" fontId="3" fillId="8" borderId="0" xfId="0" applyFont="1" applyFill="1" applyAlignment="1">
      <alignment horizontal="center"/>
    </xf>
    <xf numFmtId="0" fontId="2" fillId="8" borderId="0" xfId="0" applyFont="1" applyFill="1" applyAlignment="1">
      <alignment horizontal="center"/>
    </xf>
    <xf numFmtId="15" fontId="0" fillId="0" borderId="0" xfId="0" applyNumberFormat="1" applyBorder="1"/>
    <xf numFmtId="0" fontId="0" fillId="0" borderId="0" xfId="0" applyBorder="1"/>
    <xf numFmtId="15" fontId="0" fillId="0" borderId="3" xfId="0" applyNumberFormat="1" applyBorder="1"/>
    <xf numFmtId="15" fontId="0" fillId="0" borderId="2" xfId="0" applyNumberFormat="1" applyBorder="1"/>
    <xf numFmtId="0" fontId="3" fillId="10" borderId="0" xfId="0" applyFont="1" applyFill="1" applyBorder="1" applyAlignment="1">
      <alignment horizontal="center"/>
    </xf>
    <xf numFmtId="0" fontId="3" fillId="0" borderId="3" xfId="0" applyFont="1" applyBorder="1"/>
    <xf numFmtId="0" fontId="2" fillId="8" borderId="0" xfId="0" applyFont="1" applyFill="1" applyBorder="1" applyAlignment="1">
      <alignment horizontal="center"/>
    </xf>
    <xf numFmtId="0" fontId="3" fillId="0" borderId="0" xfId="0" applyFont="1" applyBorder="1"/>
    <xf numFmtId="0" fontId="3" fillId="8" borderId="0" xfId="0" applyFont="1" applyFill="1" applyBorder="1" applyAlignment="1">
      <alignment horizontal="center"/>
    </xf>
    <xf numFmtId="0" fontId="3" fillId="12" borderId="0" xfId="0" applyFont="1" applyFill="1" applyBorder="1" applyAlignment="1">
      <alignment horizontal="center"/>
    </xf>
    <xf numFmtId="0" fontId="3" fillId="15" borderId="0" xfId="0" applyFont="1" applyFill="1" applyBorder="1" applyAlignment="1">
      <alignment horizontal="center"/>
    </xf>
    <xf numFmtId="0" fontId="3" fillId="10" borderId="3" xfId="0" applyFont="1" applyFill="1" applyBorder="1" applyAlignment="1">
      <alignment horizontal="center"/>
    </xf>
    <xf numFmtId="0" fontId="3" fillId="9" borderId="0" xfId="0" applyFont="1" applyFill="1" applyBorder="1"/>
    <xf numFmtId="0" fontId="3" fillId="9" borderId="3" xfId="0" applyFont="1" applyFill="1" applyBorder="1"/>
    <xf numFmtId="0" fontId="3" fillId="6" borderId="0" xfId="0" applyFont="1" applyFill="1" applyBorder="1" applyAlignment="1">
      <alignment horizontal="center"/>
    </xf>
    <xf numFmtId="0" fontId="2" fillId="5" borderId="2" xfId="0" applyFont="1" applyFill="1" applyBorder="1" applyAlignment="1">
      <alignment horizontal="center"/>
    </xf>
    <xf numFmtId="0" fontId="3" fillId="10" borderId="5" xfId="0" applyFont="1" applyFill="1" applyBorder="1" applyAlignment="1">
      <alignment horizontal="center"/>
    </xf>
    <xf numFmtId="10" fontId="0" fillId="0" borderId="6" xfId="2" applyNumberFormat="1" applyFont="1" applyBorder="1"/>
    <xf numFmtId="0" fontId="2" fillId="8" borderId="5" xfId="0" applyFont="1" applyFill="1" applyBorder="1" applyAlignment="1">
      <alignment horizontal="center"/>
    </xf>
    <xf numFmtId="9" fontId="0" fillId="0" borderId="5" xfId="0" applyNumberFormat="1" applyBorder="1"/>
    <xf numFmtId="9" fontId="0" fillId="0" borderId="6" xfId="0" applyNumberFormat="1" applyBorder="1"/>
    <xf numFmtId="0" fontId="3" fillId="0" borderId="5" xfId="0" applyFont="1" applyBorder="1"/>
    <xf numFmtId="0" fontId="3" fillId="8" borderId="5" xfId="0" applyFont="1" applyFill="1" applyBorder="1" applyAlignment="1">
      <alignment horizontal="center"/>
    </xf>
    <xf numFmtId="8" fontId="0" fillId="0" borderId="5" xfId="0" applyNumberFormat="1" applyBorder="1"/>
    <xf numFmtId="0" fontId="3" fillId="12" borderId="5" xfId="0" applyFont="1" applyFill="1" applyBorder="1" applyAlignment="1">
      <alignment horizontal="center"/>
    </xf>
    <xf numFmtId="0" fontId="3" fillId="15" borderId="5" xfId="0" applyFont="1" applyFill="1" applyBorder="1" applyAlignment="1">
      <alignment horizontal="center"/>
    </xf>
    <xf numFmtId="0" fontId="3" fillId="0" borderId="6" xfId="0" applyFont="1" applyBorder="1"/>
    <xf numFmtId="10" fontId="0" fillId="0" borderId="6" xfId="0" applyNumberFormat="1" applyBorder="1"/>
    <xf numFmtId="0" fontId="3" fillId="0" borderId="5" xfId="0" applyFont="1" applyBorder="1" applyAlignment="1">
      <alignment horizontal="center"/>
    </xf>
    <xf numFmtId="0" fontId="3" fillId="10" borderId="6" xfId="0" applyFont="1" applyFill="1" applyBorder="1" applyAlignment="1">
      <alignment horizontal="center"/>
    </xf>
    <xf numFmtId="0" fontId="0" fillId="9" borderId="5" xfId="0" applyFill="1" applyBorder="1"/>
    <xf numFmtId="9" fontId="0" fillId="9" borderId="5" xfId="0" applyNumberFormat="1" applyFill="1" applyBorder="1"/>
    <xf numFmtId="164" fontId="0" fillId="9" borderId="6" xfId="0" applyNumberFormat="1" applyFill="1" applyBorder="1"/>
    <xf numFmtId="0" fontId="3" fillId="6" borderId="5" xfId="0" applyFont="1" applyFill="1" applyBorder="1" applyAlignment="1">
      <alignment horizontal="center"/>
    </xf>
    <xf numFmtId="0" fontId="2" fillId="8" borderId="8" xfId="0" applyFont="1" applyFill="1" applyBorder="1" applyAlignment="1">
      <alignment horizontal="center" wrapText="1"/>
    </xf>
    <xf numFmtId="164" fontId="0" fillId="0" borderId="6" xfId="0" applyNumberFormat="1" applyBorder="1"/>
    <xf numFmtId="0" fontId="2" fillId="5" borderId="8" xfId="0" applyFont="1" applyFill="1" applyBorder="1" applyAlignment="1">
      <alignment horizontal="center"/>
    </xf>
  </cellXfs>
  <cellStyles count="4">
    <cellStyle name="Comma" xfId="3" builtinId="3"/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NPV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'Q4'!$E$17</c:f>
              <c:strCache>
                <c:ptCount val="1"/>
                <c:pt idx="0">
                  <c:v>Npv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'Q4'!$D$19:$D$34</c:f>
              <c:numCache>
                <c:formatCode>0%</c:formatCode>
                <c:ptCount val="16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</c:numCache>
            </c:numRef>
          </c:cat>
          <c:val>
            <c:numRef>
              <c:f>'Q4'!$E$19:$E$34</c:f>
              <c:numCache>
                <c:formatCode>_("$"* #,##0.00_);_("$"* \(#,##0.00\);_("$"* "-"??_);_(@_)</c:formatCode>
                <c:ptCount val="16"/>
                <c:pt idx="0">
                  <c:v>-100</c:v>
                </c:pt>
                <c:pt idx="1">
                  <c:v>-16.296976984653327</c:v>
                </c:pt>
                <c:pt idx="2">
                  <c:v>34.464238036398569</c:v>
                </c:pt>
                <c:pt idx="3">
                  <c:v>63.011014173731951</c:v>
                </c:pt>
                <c:pt idx="4">
                  <c:v>76.51748971193399</c:v>
                </c:pt>
                <c:pt idx="5">
                  <c:v>79.840000000000032</c:v>
                </c:pt>
                <c:pt idx="6">
                  <c:v>76.299580115973072</c:v>
                </c:pt>
                <c:pt idx="7">
                  <c:v>68.186273700149968</c:v>
                </c:pt>
                <c:pt idx="8">
                  <c:v>57.089308026417598</c:v>
                </c:pt>
                <c:pt idx="9">
                  <c:v>44.116373002799605</c:v>
                </c:pt>
                <c:pt idx="10">
                  <c:v>30.041152263374556</c:v>
                </c:pt>
                <c:pt idx="11">
                  <c:v>15.403757519739202</c:v>
                </c:pt>
                <c:pt idx="12">
                  <c:v>0.579833984375</c:v>
                </c:pt>
                <c:pt idx="13">
                  <c:v>-14.17143044915889</c:v>
                </c:pt>
                <c:pt idx="14">
                  <c:v>-28.673662206827885</c:v>
                </c:pt>
                <c:pt idx="15">
                  <c:v>-42.809543642529832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D2-4F23-8F44-B225EE7535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0405471"/>
        <c:axId val="790406431"/>
      </c:lineChart>
      <c:catAx>
        <c:axId val="79040547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Discount rate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0406431"/>
        <c:crosses val="autoZero"/>
        <c:auto val="1"/>
        <c:lblAlgn val="ctr"/>
        <c:lblOffset val="10"/>
        <c:noMultiLvlLbl val="0"/>
      </c:catAx>
      <c:valAx>
        <c:axId val="7904064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NPV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04054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104775</xdr:colOff>
      <xdr:row>15</xdr:row>
      <xdr:rowOff>19049</xdr:rowOff>
    </xdr:from>
    <xdr:to>
      <xdr:col>13</xdr:col>
      <xdr:colOff>333375</xdr:colOff>
      <xdr:row>29</xdr:row>
      <xdr:rowOff>161925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E957A3D-4AF9-5DF5-8EB5-E2A7EC2538E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58267F-9D0C-4BA1-82C3-6C3D8054E778}">
  <sheetPr codeName="Sheet1"/>
  <dimension ref="A1:D24"/>
  <sheetViews>
    <sheetView tabSelected="1" workbookViewId="0">
      <selection activeCell="J10" sqref="J10"/>
    </sheetView>
  </sheetViews>
  <sheetFormatPr defaultRowHeight="15" x14ac:dyDescent="0.25"/>
  <cols>
    <col min="1" max="1" width="13" customWidth="1"/>
    <col min="2" max="2" width="10.85546875" customWidth="1"/>
    <col min="3" max="3" width="11.28515625" customWidth="1"/>
  </cols>
  <sheetData>
    <row r="1" spans="1:4" x14ac:dyDescent="0.25">
      <c r="A1" s="79" t="s">
        <v>1</v>
      </c>
      <c r="B1" s="79"/>
      <c r="C1" s="79"/>
      <c r="D1" s="79"/>
    </row>
    <row r="2" spans="1:4" x14ac:dyDescent="0.25">
      <c r="A2" s="80" t="s">
        <v>7</v>
      </c>
      <c r="B2" s="80"/>
      <c r="C2" s="80"/>
      <c r="D2" s="80"/>
    </row>
    <row r="3" spans="1:4" x14ac:dyDescent="0.25">
      <c r="A3" s="3" t="s">
        <v>2</v>
      </c>
      <c r="B3" s="4"/>
    </row>
    <row r="4" spans="1:4" x14ac:dyDescent="0.25">
      <c r="A4" s="3" t="s">
        <v>4</v>
      </c>
      <c r="B4" s="4"/>
    </row>
    <row r="5" spans="1:4" x14ac:dyDescent="0.25">
      <c r="A5" s="3" t="s">
        <v>3</v>
      </c>
      <c r="B5" s="4"/>
    </row>
    <row r="6" spans="1:4" x14ac:dyDescent="0.25">
      <c r="A6" s="3"/>
      <c r="B6" s="4"/>
    </row>
    <row r="7" spans="1:4" x14ac:dyDescent="0.25">
      <c r="A7" s="115" t="s">
        <v>8</v>
      </c>
      <c r="B7" s="136"/>
      <c r="C7" s="77"/>
      <c r="D7" s="77"/>
    </row>
    <row r="8" spans="1:4" x14ac:dyDescent="0.25">
      <c r="A8" s="107" t="s">
        <v>5</v>
      </c>
      <c r="B8" s="119">
        <v>0.08</v>
      </c>
    </row>
    <row r="9" spans="1:4" x14ac:dyDescent="0.25">
      <c r="A9" s="101"/>
      <c r="B9" s="15"/>
    </row>
    <row r="10" spans="1:4" ht="15.75" thickBot="1" x14ac:dyDescent="0.3">
      <c r="A10" s="13" t="s">
        <v>6</v>
      </c>
      <c r="B10" s="50" t="s">
        <v>9</v>
      </c>
      <c r="C10" s="13" t="s">
        <v>11</v>
      </c>
      <c r="D10" s="14"/>
    </row>
    <row r="11" spans="1:4" ht="15.75" thickTop="1" x14ac:dyDescent="0.25">
      <c r="A11" s="101">
        <v>0</v>
      </c>
      <c r="B11" s="15">
        <v>-600</v>
      </c>
      <c r="C11">
        <v>-600</v>
      </c>
      <c r="D11" s="15"/>
    </row>
    <row r="12" spans="1:4" x14ac:dyDescent="0.25">
      <c r="A12" s="101">
        <v>1</v>
      </c>
      <c r="B12" s="15">
        <v>100</v>
      </c>
      <c r="C12">
        <f t="shared" ref="C12:C21" si="0">B12/(1+$B$8)^A12</f>
        <v>92.592592592592581</v>
      </c>
      <c r="D12" s="15"/>
    </row>
    <row r="13" spans="1:4" x14ac:dyDescent="0.25">
      <c r="A13" s="101">
        <v>2</v>
      </c>
      <c r="B13" s="15">
        <v>100</v>
      </c>
      <c r="C13">
        <f t="shared" si="0"/>
        <v>85.733882030178322</v>
      </c>
      <c r="D13" s="15"/>
    </row>
    <row r="14" spans="1:4" ht="15.75" thickBot="1" x14ac:dyDescent="0.3">
      <c r="A14" s="8">
        <v>3</v>
      </c>
      <c r="B14" s="16">
        <v>100</v>
      </c>
      <c r="C14">
        <f t="shared" si="0"/>
        <v>79.383224102016953</v>
      </c>
      <c r="D14" s="15"/>
    </row>
    <row r="15" spans="1:4" ht="15.75" thickTop="1" x14ac:dyDescent="0.25">
      <c r="A15">
        <v>4</v>
      </c>
      <c r="B15">
        <v>100</v>
      </c>
      <c r="C15">
        <f t="shared" si="0"/>
        <v>73.50298527964533</v>
      </c>
      <c r="D15" s="15"/>
    </row>
    <row r="16" spans="1:4" x14ac:dyDescent="0.25">
      <c r="A16">
        <v>5</v>
      </c>
      <c r="B16">
        <v>100</v>
      </c>
      <c r="C16">
        <f t="shared" si="0"/>
        <v>68.058319703375304</v>
      </c>
      <c r="D16" s="15"/>
    </row>
    <row r="17" spans="1:4" x14ac:dyDescent="0.25">
      <c r="A17">
        <v>6</v>
      </c>
      <c r="B17">
        <v>100</v>
      </c>
      <c r="C17">
        <f t="shared" si="0"/>
        <v>63.016962688310457</v>
      </c>
      <c r="D17" s="15"/>
    </row>
    <row r="18" spans="1:4" x14ac:dyDescent="0.25">
      <c r="A18">
        <v>7</v>
      </c>
      <c r="B18">
        <v>100</v>
      </c>
      <c r="C18">
        <f t="shared" si="0"/>
        <v>58.349039526213382</v>
      </c>
      <c r="D18" s="15"/>
    </row>
    <row r="19" spans="1:4" x14ac:dyDescent="0.25">
      <c r="A19">
        <v>8</v>
      </c>
      <c r="B19">
        <v>100</v>
      </c>
      <c r="C19">
        <f t="shared" si="0"/>
        <v>54.026888450197575</v>
      </c>
      <c r="D19" s="15"/>
    </row>
    <row r="20" spans="1:4" x14ac:dyDescent="0.25">
      <c r="A20">
        <v>9</v>
      </c>
      <c r="B20">
        <v>100</v>
      </c>
      <c r="C20">
        <f t="shared" si="0"/>
        <v>50.0248967131459</v>
      </c>
      <c r="D20" s="15"/>
    </row>
    <row r="21" spans="1:4" ht="15.75" thickBot="1" x14ac:dyDescent="0.3">
      <c r="A21" s="8">
        <v>10</v>
      </c>
      <c r="B21" s="8">
        <v>100</v>
      </c>
      <c r="C21" s="8">
        <f t="shared" si="0"/>
        <v>46.319348808468426</v>
      </c>
      <c r="D21" s="16"/>
    </row>
    <row r="22" spans="1:4" ht="15.75" thickTop="1" x14ac:dyDescent="0.25">
      <c r="A22" s="78" t="s">
        <v>10</v>
      </c>
      <c r="B22" s="78"/>
      <c r="C22" s="10">
        <f>IRR(C11:C21)</f>
        <v>2.3685014861008602E-2</v>
      </c>
    </row>
    <row r="23" spans="1:4" x14ac:dyDescent="0.25">
      <c r="A23" s="11" t="s">
        <v>12</v>
      </c>
      <c r="B23" s="11" t="str">
        <f>IF(C22&gt;B8,"purchase","don’t purchase")</f>
        <v>don’t purchase</v>
      </c>
    </row>
    <row r="24" spans="1:4" x14ac:dyDescent="0.25">
      <c r="A24" s="40" t="s">
        <v>13</v>
      </c>
      <c r="B24" s="12">
        <f>IRR(C11:C21)</f>
        <v>2.3685014861008602E-2</v>
      </c>
    </row>
  </sheetData>
  <mergeCells count="4">
    <mergeCell ref="A7:D7"/>
    <mergeCell ref="A22:B22"/>
    <mergeCell ref="A1:D1"/>
    <mergeCell ref="A2:D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40BDF6-34A5-419C-8544-28DF52258F70}">
  <sheetPr codeName="Sheet2"/>
  <dimension ref="A1:E24"/>
  <sheetViews>
    <sheetView tabSelected="1" workbookViewId="0">
      <selection activeCell="J10" sqref="J10"/>
    </sheetView>
  </sheetViews>
  <sheetFormatPr defaultRowHeight="15" x14ac:dyDescent="0.25"/>
  <cols>
    <col min="2" max="2" width="10.85546875" customWidth="1"/>
    <col min="3" max="3" width="11.28515625" bestFit="1" customWidth="1"/>
    <col min="4" max="4" width="10.7109375" customWidth="1"/>
    <col min="5" max="5" width="12.140625" customWidth="1"/>
  </cols>
  <sheetData>
    <row r="1" spans="1:5" x14ac:dyDescent="0.25">
      <c r="A1" s="79" t="s">
        <v>0</v>
      </c>
      <c r="B1" s="79"/>
      <c r="C1" s="79"/>
      <c r="D1" s="79"/>
    </row>
    <row r="2" spans="1:5" x14ac:dyDescent="0.25">
      <c r="A2" s="80" t="s">
        <v>14</v>
      </c>
      <c r="B2" s="80"/>
      <c r="C2" s="80"/>
      <c r="D2" s="80"/>
    </row>
    <row r="3" spans="1:5" x14ac:dyDescent="0.25">
      <c r="A3" t="s">
        <v>15</v>
      </c>
    </row>
    <row r="4" spans="1:5" x14ac:dyDescent="0.25">
      <c r="A4" t="s">
        <v>19</v>
      </c>
    </row>
    <row r="6" spans="1:5" x14ac:dyDescent="0.25">
      <c r="A6" s="82" t="s">
        <v>23</v>
      </c>
      <c r="B6" s="82"/>
      <c r="C6" s="82"/>
      <c r="D6" s="82"/>
    </row>
    <row r="7" spans="1:5" x14ac:dyDescent="0.25">
      <c r="A7" s="6" t="s">
        <v>16</v>
      </c>
      <c r="B7" s="44"/>
      <c r="C7">
        <v>10000</v>
      </c>
    </row>
    <row r="8" spans="1:5" x14ac:dyDescent="0.25">
      <c r="A8" s="107" t="s">
        <v>17</v>
      </c>
      <c r="B8" s="121"/>
      <c r="C8">
        <v>5</v>
      </c>
    </row>
    <row r="9" spans="1:5" x14ac:dyDescent="0.25">
      <c r="A9" s="107" t="s">
        <v>18</v>
      </c>
      <c r="B9" s="121"/>
      <c r="C9" s="2">
        <v>0.15</v>
      </c>
    </row>
    <row r="10" spans="1:5" ht="18.75" customHeight="1" x14ac:dyDescent="0.25">
      <c r="A10" s="107" t="s">
        <v>21</v>
      </c>
      <c r="B10" s="121"/>
      <c r="C10" s="22">
        <f>PMT(C9,C8,-C7)</f>
        <v>2983.1555246152834</v>
      </c>
    </row>
    <row r="11" spans="1:5" x14ac:dyDescent="0.25">
      <c r="A11" s="107"/>
      <c r="B11" s="121"/>
    </row>
    <row r="12" spans="1:5" ht="15" customHeight="1" x14ac:dyDescent="0.25">
      <c r="A12" s="114" t="s">
        <v>27</v>
      </c>
      <c r="B12" s="133"/>
      <c r="C12" s="81"/>
      <c r="D12" s="81"/>
      <c r="E12" s="81"/>
    </row>
    <row r="13" spans="1:5" ht="44.25" customHeight="1" x14ac:dyDescent="0.25">
      <c r="A13" s="25" t="s">
        <v>6</v>
      </c>
      <c r="B13" s="134" t="s">
        <v>26</v>
      </c>
      <c r="C13" s="26" t="s">
        <v>24</v>
      </c>
      <c r="D13" s="26" t="s">
        <v>25</v>
      </c>
      <c r="E13" s="26" t="s">
        <v>28</v>
      </c>
    </row>
    <row r="14" spans="1:5" ht="15.75" thickBot="1" x14ac:dyDescent="0.3">
      <c r="A14" s="8">
        <v>1</v>
      </c>
      <c r="B14" s="135">
        <f>C7</f>
        <v>10000</v>
      </c>
      <c r="C14" s="23">
        <f>$C$10</f>
        <v>2983.1555246152834</v>
      </c>
      <c r="D14" s="23">
        <f>B14*$C$9</f>
        <v>1500</v>
      </c>
      <c r="E14" s="23">
        <f>C14-D14</f>
        <v>1483.1555246152834</v>
      </c>
    </row>
    <row r="15" spans="1:5" ht="15.75" thickTop="1" x14ac:dyDescent="0.25">
      <c r="A15">
        <v>2</v>
      </c>
      <c r="B15" s="23">
        <f>B14-E14</f>
        <v>8516.8444753847161</v>
      </c>
      <c r="C15" s="23">
        <f t="shared" ref="C15:C18" si="0">$C$10</f>
        <v>2983.1555246152834</v>
      </c>
      <c r="D15" s="23">
        <f>B15*$C$9</f>
        <v>1277.5266713077074</v>
      </c>
      <c r="E15" s="23">
        <f>C15-D15</f>
        <v>1705.628853307576</v>
      </c>
    </row>
    <row r="16" spans="1:5" x14ac:dyDescent="0.25">
      <c r="A16">
        <v>3</v>
      </c>
      <c r="B16" s="23">
        <f>B15-E15</f>
        <v>6811.2156220771403</v>
      </c>
      <c r="C16" s="23">
        <f t="shared" si="0"/>
        <v>2983.1555246152834</v>
      </c>
      <c r="D16" s="23">
        <f t="shared" ref="D16:D19" si="1">B16*$C$9</f>
        <v>1021.682343311571</v>
      </c>
      <c r="E16" s="23">
        <f>C16-D16</f>
        <v>1961.4731813037124</v>
      </c>
    </row>
    <row r="17" spans="1:5" x14ac:dyDescent="0.25">
      <c r="A17">
        <v>4</v>
      </c>
      <c r="B17" s="23">
        <f>B16-E16</f>
        <v>4849.7424407734279</v>
      </c>
      <c r="C17" s="23">
        <f t="shared" si="0"/>
        <v>2983.1555246152834</v>
      </c>
      <c r="D17" s="23">
        <f t="shared" si="1"/>
        <v>727.46136611601412</v>
      </c>
      <c r="E17" s="23">
        <f>C17-D17</f>
        <v>2255.6941584992692</v>
      </c>
    </row>
    <row r="18" spans="1:5" x14ac:dyDescent="0.25">
      <c r="A18">
        <v>5</v>
      </c>
      <c r="B18" s="23">
        <f>B17-E17</f>
        <v>2594.0482822741587</v>
      </c>
      <c r="C18" s="23">
        <f t="shared" si="0"/>
        <v>2983.1555246152834</v>
      </c>
      <c r="D18" s="23">
        <f t="shared" si="1"/>
        <v>389.10724234112382</v>
      </c>
      <c r="E18" s="23">
        <f>C18-D18</f>
        <v>2594.0482822741596</v>
      </c>
    </row>
    <row r="19" spans="1:5" ht="15.75" thickBot="1" x14ac:dyDescent="0.3">
      <c r="A19" s="8">
        <v>6</v>
      </c>
      <c r="B19" s="24">
        <f>B18-E18</f>
        <v>0</v>
      </c>
      <c r="C19" s="24"/>
      <c r="D19" s="24">
        <f t="shared" si="1"/>
        <v>0</v>
      </c>
      <c r="E19" s="24"/>
    </row>
    <row r="20" spans="1:5" ht="15.75" thickTop="1" x14ac:dyDescent="0.25"/>
    <row r="21" spans="1:5" x14ac:dyDescent="0.25">
      <c r="A21" s="1"/>
    </row>
    <row r="24" spans="1:5" x14ac:dyDescent="0.25">
      <c r="B24" s="2"/>
    </row>
  </sheetData>
  <mergeCells count="4">
    <mergeCell ref="A1:D1"/>
    <mergeCell ref="A2:D2"/>
    <mergeCell ref="A12:E12"/>
    <mergeCell ref="A6:D6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71600C-1A1E-4B5B-8592-E37C71B0D089}">
  <sheetPr codeName="Sheet3"/>
  <dimension ref="A1:F29"/>
  <sheetViews>
    <sheetView tabSelected="1" topLeftCell="A7" workbookViewId="0">
      <selection activeCell="J10" sqref="J10"/>
    </sheetView>
  </sheetViews>
  <sheetFormatPr defaultRowHeight="15" x14ac:dyDescent="0.25"/>
  <cols>
    <col min="1" max="1" width="14.5703125" customWidth="1"/>
    <col min="2" max="2" width="10.85546875" customWidth="1"/>
    <col min="4" max="4" width="14.7109375" customWidth="1"/>
    <col min="5" max="5" width="12.5703125" customWidth="1"/>
  </cols>
  <sheetData>
    <row r="1" spans="1:6" x14ac:dyDescent="0.25">
      <c r="A1" s="79" t="s">
        <v>0</v>
      </c>
      <c r="B1" s="79"/>
      <c r="C1" s="79"/>
      <c r="D1" s="79"/>
    </row>
    <row r="2" spans="1:6" x14ac:dyDescent="0.25">
      <c r="A2" s="80" t="s">
        <v>29</v>
      </c>
      <c r="B2" s="80"/>
      <c r="C2" s="80"/>
      <c r="D2" s="80"/>
    </row>
    <row r="3" spans="1:6" x14ac:dyDescent="0.25">
      <c r="A3" t="s">
        <v>32</v>
      </c>
    </row>
    <row r="4" spans="1:6" x14ac:dyDescent="0.25">
      <c r="A4" t="s">
        <v>31</v>
      </c>
      <c r="B4" t="s">
        <v>30</v>
      </c>
    </row>
    <row r="5" spans="1:6" x14ac:dyDescent="0.25">
      <c r="A5" t="s">
        <v>13</v>
      </c>
      <c r="B5" t="s">
        <v>38</v>
      </c>
    </row>
    <row r="7" spans="1:6" x14ac:dyDescent="0.25">
      <c r="A7" s="7" t="s">
        <v>33</v>
      </c>
      <c r="B7" s="51"/>
    </row>
    <row r="8" spans="1:6" x14ac:dyDescent="0.25">
      <c r="A8" s="101" t="s">
        <v>39</v>
      </c>
      <c r="B8" s="15"/>
    </row>
    <row r="9" spans="1:6" x14ac:dyDescent="0.25">
      <c r="A9" s="101"/>
      <c r="B9" s="15"/>
    </row>
    <row r="10" spans="1:6" x14ac:dyDescent="0.25">
      <c r="A10" s="101"/>
      <c r="B10" s="15"/>
      <c r="D10" s="83" t="s">
        <v>23</v>
      </c>
      <c r="E10" s="83"/>
    </row>
    <row r="11" spans="1:6" x14ac:dyDescent="0.25">
      <c r="A11" s="112" t="s">
        <v>34</v>
      </c>
      <c r="B11" s="130"/>
      <c r="D11" s="32" t="s">
        <v>34</v>
      </c>
      <c r="E11" s="33"/>
      <c r="F11" t="s">
        <v>40</v>
      </c>
    </row>
    <row r="12" spans="1:6" x14ac:dyDescent="0.25">
      <c r="A12" s="112" t="s">
        <v>35</v>
      </c>
      <c r="B12" s="131">
        <v>0.15</v>
      </c>
      <c r="D12" s="32" t="s">
        <v>35</v>
      </c>
      <c r="E12" s="34">
        <v>0.15</v>
      </c>
    </row>
    <row r="13" spans="1:6" x14ac:dyDescent="0.25">
      <c r="A13" s="112" t="s">
        <v>36</v>
      </c>
      <c r="B13" s="130">
        <v>129.2852</v>
      </c>
      <c r="D13" s="32" t="s">
        <v>36</v>
      </c>
      <c r="E13" s="33">
        <v>129.2852</v>
      </c>
    </row>
    <row r="14" spans="1:6" ht="15.75" thickBot="1" x14ac:dyDescent="0.3">
      <c r="A14" s="113" t="s">
        <v>37</v>
      </c>
      <c r="B14" s="132">
        <f>B17+NPV(B12,B18:B28)</f>
        <v>-532.02650277668158</v>
      </c>
      <c r="D14" s="32" t="s">
        <v>37</v>
      </c>
      <c r="E14" s="35">
        <f>E17+NPV(E12,E18:E28)</f>
        <v>0</v>
      </c>
      <c r="F14" t="s">
        <v>41</v>
      </c>
    </row>
    <row r="15" spans="1:6" ht="15.75" thickTop="1" x14ac:dyDescent="0.25">
      <c r="A15" s="27"/>
      <c r="B15" s="27"/>
      <c r="D15" s="33"/>
      <c r="E15" s="33"/>
    </row>
    <row r="16" spans="1:6" x14ac:dyDescent="0.25">
      <c r="A16" s="28" t="s">
        <v>6</v>
      </c>
      <c r="B16" s="28" t="s">
        <v>9</v>
      </c>
      <c r="D16" s="36" t="s">
        <v>6</v>
      </c>
      <c r="E16" s="36" t="s">
        <v>9</v>
      </c>
    </row>
    <row r="17" spans="1:6" x14ac:dyDescent="0.25">
      <c r="A17" s="27">
        <v>0</v>
      </c>
      <c r="B17" s="29">
        <v>-1000</v>
      </c>
      <c r="D17" s="33">
        <v>0</v>
      </c>
      <c r="E17" s="35">
        <v>-1000</v>
      </c>
    </row>
    <row r="18" spans="1:6" x14ac:dyDescent="0.25">
      <c r="A18" s="27">
        <v>1</v>
      </c>
      <c r="B18" s="29">
        <v>100</v>
      </c>
      <c r="D18" s="33">
        <v>1</v>
      </c>
      <c r="E18" s="39">
        <v>129.28518980564291</v>
      </c>
      <c r="F18" s="1" t="s">
        <v>42</v>
      </c>
    </row>
    <row r="19" spans="1:6" x14ac:dyDescent="0.25">
      <c r="A19" s="27">
        <v>2</v>
      </c>
      <c r="B19" s="29">
        <f>B18*1.1</f>
        <v>110.00000000000001</v>
      </c>
      <c r="D19" s="33">
        <v>2</v>
      </c>
      <c r="E19" s="35">
        <f>E18*1.1</f>
        <v>142.21370878620721</v>
      </c>
      <c r="F19" s="1"/>
    </row>
    <row r="20" spans="1:6" x14ac:dyDescent="0.25">
      <c r="A20" s="27">
        <v>3</v>
      </c>
      <c r="B20" s="29">
        <f t="shared" ref="B20:B28" si="0">B19*1.1</f>
        <v>121.00000000000003</v>
      </c>
      <c r="D20" s="33">
        <v>3</v>
      </c>
      <c r="E20" s="35">
        <f t="shared" ref="E20:E28" si="1">E19*1.1</f>
        <v>156.43507966482795</v>
      </c>
    </row>
    <row r="21" spans="1:6" x14ac:dyDescent="0.25">
      <c r="A21" s="27">
        <v>4</v>
      </c>
      <c r="B21" s="29">
        <f t="shared" si="0"/>
        <v>133.10000000000005</v>
      </c>
      <c r="D21" s="33">
        <v>4</v>
      </c>
      <c r="E21" s="35">
        <f t="shared" si="1"/>
        <v>172.07858763131077</v>
      </c>
    </row>
    <row r="22" spans="1:6" x14ac:dyDescent="0.25">
      <c r="A22" s="27">
        <v>5</v>
      </c>
      <c r="B22" s="29">
        <f t="shared" si="0"/>
        <v>146.41000000000008</v>
      </c>
      <c r="D22" s="33">
        <v>5</v>
      </c>
      <c r="E22" s="35">
        <f t="shared" si="1"/>
        <v>189.28644639444187</v>
      </c>
    </row>
    <row r="23" spans="1:6" x14ac:dyDescent="0.25">
      <c r="A23" s="27">
        <v>6</v>
      </c>
      <c r="B23" s="29">
        <f t="shared" si="0"/>
        <v>161.0510000000001</v>
      </c>
      <c r="D23" s="33">
        <v>6</v>
      </c>
      <c r="E23" s="35">
        <f t="shared" si="1"/>
        <v>208.21509103388607</v>
      </c>
    </row>
    <row r="24" spans="1:6" x14ac:dyDescent="0.25">
      <c r="A24" s="27">
        <v>7</v>
      </c>
      <c r="B24" s="29">
        <f>IRR(B17:B22,)</f>
        <v>-0.13758599354363676</v>
      </c>
      <c r="D24" s="33">
        <v>7</v>
      </c>
      <c r="E24" s="35">
        <f t="shared" si="1"/>
        <v>229.03660013727469</v>
      </c>
    </row>
    <row r="25" spans="1:6" x14ac:dyDescent="0.25">
      <c r="A25" s="27">
        <v>8</v>
      </c>
      <c r="B25" s="29">
        <f t="shared" si="0"/>
        <v>-0.15134459289800045</v>
      </c>
      <c r="D25" s="33">
        <v>8</v>
      </c>
      <c r="E25" s="35">
        <f t="shared" si="1"/>
        <v>251.94026015100218</v>
      </c>
    </row>
    <row r="26" spans="1:6" x14ac:dyDescent="0.25">
      <c r="A26" s="27">
        <v>9</v>
      </c>
      <c r="B26" s="29">
        <f t="shared" si="0"/>
        <v>-0.16647905218780051</v>
      </c>
      <c r="D26" s="33">
        <v>9</v>
      </c>
      <c r="E26" s="35">
        <f t="shared" si="1"/>
        <v>277.13428616610241</v>
      </c>
    </row>
    <row r="27" spans="1:6" x14ac:dyDescent="0.25">
      <c r="A27" s="27">
        <v>10</v>
      </c>
      <c r="B27" s="29">
        <f t="shared" si="0"/>
        <v>-0.18312695740658058</v>
      </c>
      <c r="D27" s="33">
        <v>10</v>
      </c>
      <c r="E27" s="35">
        <f t="shared" si="1"/>
        <v>304.84771478271267</v>
      </c>
    </row>
    <row r="28" spans="1:6" ht="15.75" thickBot="1" x14ac:dyDescent="0.3">
      <c r="A28" s="30">
        <v>11</v>
      </c>
      <c r="B28" s="31">
        <f t="shared" si="0"/>
        <v>-0.20143965314723866</v>
      </c>
      <c r="D28" s="37">
        <v>11</v>
      </c>
      <c r="E28" s="38">
        <f t="shared" si="1"/>
        <v>335.33248626098396</v>
      </c>
    </row>
    <row r="29" spans="1:6" ht="15.75" thickTop="1" x14ac:dyDescent="0.25"/>
  </sheetData>
  <mergeCells count="3">
    <mergeCell ref="A1:D1"/>
    <mergeCell ref="A2:D2"/>
    <mergeCell ref="D10:E10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8CBB47-C596-4099-9D1C-E38F9A4DACE1}">
  <sheetPr codeName="Sheet5"/>
  <dimension ref="A1:E34"/>
  <sheetViews>
    <sheetView tabSelected="1" topLeftCell="A7" workbookViewId="0">
      <selection activeCell="J10" sqref="J10"/>
    </sheetView>
  </sheetViews>
  <sheetFormatPr defaultRowHeight="15" x14ac:dyDescent="0.25"/>
  <cols>
    <col min="2" max="2" width="10.85546875" customWidth="1"/>
    <col min="4" max="4" width="12.140625" customWidth="1"/>
    <col min="5" max="5" width="10.85546875" customWidth="1"/>
    <col min="8" max="8" width="11.28515625" customWidth="1"/>
  </cols>
  <sheetData>
    <row r="1" spans="1:5" x14ac:dyDescent="0.25">
      <c r="A1" s="84" t="s">
        <v>0</v>
      </c>
      <c r="B1" s="84"/>
      <c r="C1" s="84"/>
    </row>
    <row r="2" spans="1:5" x14ac:dyDescent="0.25">
      <c r="A2" s="85" t="s">
        <v>53</v>
      </c>
      <c r="B2" s="85"/>
      <c r="C2" s="85"/>
    </row>
    <row r="3" spans="1:5" x14ac:dyDescent="0.25">
      <c r="A3" t="s">
        <v>43</v>
      </c>
    </row>
    <row r="4" spans="1:5" x14ac:dyDescent="0.25">
      <c r="A4" t="s">
        <v>44</v>
      </c>
    </row>
    <row r="6" spans="1:5" x14ac:dyDescent="0.25">
      <c r="A6" s="6" t="s">
        <v>45</v>
      </c>
      <c r="B6" s="6" t="s">
        <v>46</v>
      </c>
      <c r="D6" s="1" t="s">
        <v>49</v>
      </c>
      <c r="E6" s="2">
        <v>0.2</v>
      </c>
    </row>
    <row r="7" spans="1:5" x14ac:dyDescent="0.25">
      <c r="A7" s="7">
        <v>0</v>
      </c>
      <c r="B7" s="51">
        <v>-500</v>
      </c>
    </row>
    <row r="8" spans="1:5" x14ac:dyDescent="0.25">
      <c r="A8" s="101">
        <v>1</v>
      </c>
      <c r="B8" s="15">
        <v>600</v>
      </c>
    </row>
    <row r="9" spans="1:5" x14ac:dyDescent="0.25">
      <c r="A9" s="101">
        <v>2</v>
      </c>
      <c r="B9" s="15">
        <v>300</v>
      </c>
    </row>
    <row r="10" spans="1:5" x14ac:dyDescent="0.25">
      <c r="A10" s="101">
        <v>3</v>
      </c>
      <c r="B10" s="15">
        <v>300</v>
      </c>
    </row>
    <row r="11" spans="1:5" x14ac:dyDescent="0.25">
      <c r="A11" s="101">
        <v>4</v>
      </c>
      <c r="B11" s="15">
        <v>200</v>
      </c>
    </row>
    <row r="12" spans="1:5" ht="15.75" thickBot="1" x14ac:dyDescent="0.3">
      <c r="A12" s="8">
        <v>5</v>
      </c>
      <c r="B12" s="16">
        <v>-1000</v>
      </c>
    </row>
    <row r="13" spans="1:5" ht="15.75" thickTop="1" x14ac:dyDescent="0.25">
      <c r="A13" s="101"/>
      <c r="B13" s="15"/>
    </row>
    <row r="14" spans="1:5" ht="15.75" thickBot="1" x14ac:dyDescent="0.3">
      <c r="A14" s="111" t="s">
        <v>23</v>
      </c>
      <c r="B14" s="129"/>
      <c r="C14" s="85"/>
    </row>
    <row r="15" spans="1:5" ht="15.75" thickTop="1" x14ac:dyDescent="0.25"/>
    <row r="16" spans="1:5" x14ac:dyDescent="0.25">
      <c r="A16" s="6" t="s">
        <v>45</v>
      </c>
      <c r="B16" s="6" t="s">
        <v>46</v>
      </c>
      <c r="D16" s="81" t="s">
        <v>50</v>
      </c>
      <c r="E16" s="81"/>
    </row>
    <row r="17" spans="1:5" x14ac:dyDescent="0.25">
      <c r="A17">
        <v>0</v>
      </c>
      <c r="B17">
        <v>-500</v>
      </c>
      <c r="D17" s="17" t="s">
        <v>51</v>
      </c>
      <c r="E17" s="41" t="s">
        <v>52</v>
      </c>
    </row>
    <row r="18" spans="1:5" x14ac:dyDescent="0.25">
      <c r="A18">
        <v>1</v>
      </c>
      <c r="B18">
        <v>600</v>
      </c>
      <c r="E18" s="43">
        <f>NPV(D18,B18:B22)+B17</f>
        <v>-100</v>
      </c>
    </row>
    <row r="19" spans="1:5" x14ac:dyDescent="0.25">
      <c r="A19">
        <v>2</v>
      </c>
      <c r="B19">
        <v>300</v>
      </c>
      <c r="D19" s="18">
        <v>0</v>
      </c>
      <c r="E19" s="42">
        <f t="dataTable" ref="E19:E34" dt2D="0" dtr="0" r1="D18"/>
        <v>-100</v>
      </c>
    </row>
    <row r="20" spans="1:5" x14ac:dyDescent="0.25">
      <c r="A20">
        <v>3</v>
      </c>
      <c r="B20">
        <v>300</v>
      </c>
      <c r="D20" s="18">
        <v>0.05</v>
      </c>
      <c r="E20" s="42">
        <v>-16.296976984653327</v>
      </c>
    </row>
    <row r="21" spans="1:5" x14ac:dyDescent="0.25">
      <c r="A21">
        <v>4</v>
      </c>
      <c r="B21">
        <v>200</v>
      </c>
      <c r="D21" s="18">
        <v>0.1</v>
      </c>
      <c r="E21" s="42">
        <v>34.464238036398569</v>
      </c>
    </row>
    <row r="22" spans="1:5" ht="15.75" thickBot="1" x14ac:dyDescent="0.3">
      <c r="A22" s="8">
        <v>5</v>
      </c>
      <c r="B22" s="8">
        <v>-1000</v>
      </c>
      <c r="D22" s="18">
        <v>0.15</v>
      </c>
      <c r="E22" s="42">
        <v>63.011014173731951</v>
      </c>
    </row>
    <row r="23" spans="1:5" ht="15.75" thickTop="1" x14ac:dyDescent="0.25">
      <c r="D23" s="18">
        <v>0.2</v>
      </c>
      <c r="E23" s="42">
        <v>76.51748971193399</v>
      </c>
    </row>
    <row r="24" spans="1:5" ht="18" x14ac:dyDescent="0.35">
      <c r="A24" s="33" t="s">
        <v>47</v>
      </c>
      <c r="B24" s="34">
        <f>IRR($B$7:$B$12,0)</f>
        <v>6.3387866457027098E-2</v>
      </c>
      <c r="D24" s="18">
        <v>0.25</v>
      </c>
      <c r="E24" s="42">
        <v>79.840000000000032</v>
      </c>
    </row>
    <row r="25" spans="1:5" ht="18" x14ac:dyDescent="0.35">
      <c r="A25" s="33" t="s">
        <v>48</v>
      </c>
      <c r="B25" s="34">
        <f>IRR($B$7:$B$12,0.3)</f>
        <v>0.60195607653725158</v>
      </c>
      <c r="D25" s="18">
        <v>0.3</v>
      </c>
      <c r="E25" s="42">
        <v>76.299580115973072</v>
      </c>
    </row>
    <row r="26" spans="1:5" x14ac:dyDescent="0.25">
      <c r="D26" s="18">
        <v>0.35</v>
      </c>
      <c r="E26" s="42">
        <v>68.186273700149968</v>
      </c>
    </row>
    <row r="27" spans="1:5" x14ac:dyDescent="0.25">
      <c r="D27" s="18">
        <v>0.4</v>
      </c>
      <c r="E27" s="42">
        <v>57.089308026417598</v>
      </c>
    </row>
    <row r="28" spans="1:5" x14ac:dyDescent="0.25">
      <c r="D28" s="18">
        <v>0.45</v>
      </c>
      <c r="E28" s="42">
        <v>44.116373002799605</v>
      </c>
    </row>
    <row r="29" spans="1:5" x14ac:dyDescent="0.25">
      <c r="D29" s="18">
        <v>0.5</v>
      </c>
      <c r="E29" s="42">
        <v>30.041152263374556</v>
      </c>
    </row>
    <row r="30" spans="1:5" x14ac:dyDescent="0.25">
      <c r="D30" s="18">
        <v>0.55000000000000004</v>
      </c>
      <c r="E30" s="42">
        <v>15.403757519739202</v>
      </c>
    </row>
    <row r="31" spans="1:5" x14ac:dyDescent="0.25">
      <c r="D31" s="18">
        <v>0.6</v>
      </c>
      <c r="E31" s="42">
        <v>0.579833984375</v>
      </c>
    </row>
    <row r="32" spans="1:5" x14ac:dyDescent="0.25">
      <c r="D32" s="18">
        <v>0.65</v>
      </c>
      <c r="E32" s="42">
        <v>-14.17143044915889</v>
      </c>
    </row>
    <row r="33" spans="4:5" x14ac:dyDescent="0.25">
      <c r="D33" s="18">
        <v>0.7</v>
      </c>
      <c r="E33" s="42">
        <v>-28.673662206827885</v>
      </c>
    </row>
    <row r="34" spans="4:5" x14ac:dyDescent="0.25">
      <c r="D34" s="18">
        <v>0.75</v>
      </c>
      <c r="E34" s="42">
        <v>-42.809543642529832</v>
      </c>
    </row>
  </sheetData>
  <mergeCells count="4">
    <mergeCell ref="A1:C1"/>
    <mergeCell ref="A2:C2"/>
    <mergeCell ref="D16:E16"/>
    <mergeCell ref="A14:C14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E96C9F-9268-41FB-B1F6-A14427341A72}">
  <sheetPr codeName="Sheet4"/>
  <dimension ref="A1:N35"/>
  <sheetViews>
    <sheetView tabSelected="1" topLeftCell="A10" workbookViewId="0">
      <selection activeCell="J10" sqref="J10"/>
    </sheetView>
  </sheetViews>
  <sheetFormatPr defaultRowHeight="15" x14ac:dyDescent="0.25"/>
  <cols>
    <col min="2" max="2" width="10.85546875" customWidth="1"/>
    <col min="8" max="8" width="10.42578125" customWidth="1"/>
  </cols>
  <sheetData>
    <row r="1" spans="1:14" x14ac:dyDescent="0.25">
      <c r="A1" s="84" t="s">
        <v>0</v>
      </c>
      <c r="B1" s="84"/>
      <c r="C1" s="84"/>
    </row>
    <row r="2" spans="1:14" x14ac:dyDescent="0.25">
      <c r="A2" s="85" t="s">
        <v>54</v>
      </c>
      <c r="B2" s="85"/>
      <c r="C2" s="85"/>
    </row>
    <row r="3" spans="1:14" x14ac:dyDescent="0.25">
      <c r="A3" t="s">
        <v>55</v>
      </c>
    </row>
    <row r="4" spans="1:14" x14ac:dyDescent="0.25">
      <c r="A4" t="s">
        <v>56</v>
      </c>
    </row>
    <row r="5" spans="1:14" x14ac:dyDescent="0.25">
      <c r="A5" t="s">
        <v>57</v>
      </c>
    </row>
    <row r="6" spans="1:14" x14ac:dyDescent="0.25">
      <c r="A6" t="s">
        <v>58</v>
      </c>
    </row>
    <row r="7" spans="1:14" x14ac:dyDescent="0.25">
      <c r="A7" s="7"/>
      <c r="B7" s="51"/>
    </row>
    <row r="8" spans="1:14" x14ac:dyDescent="0.25">
      <c r="A8" s="101"/>
      <c r="B8" s="15"/>
      <c r="D8" s="1" t="s">
        <v>59</v>
      </c>
      <c r="E8" s="2">
        <v>0.1</v>
      </c>
      <c r="J8" s="1" t="s">
        <v>59</v>
      </c>
      <c r="K8" s="2">
        <v>0.03</v>
      </c>
    </row>
    <row r="9" spans="1:14" ht="12.75" customHeight="1" thickBot="1" x14ac:dyDescent="0.3">
      <c r="A9" s="101"/>
      <c r="B9" s="119"/>
    </row>
    <row r="10" spans="1:14" ht="31.5" customHeight="1" x14ac:dyDescent="0.25">
      <c r="A10" s="101"/>
      <c r="B10" s="128"/>
      <c r="C10" s="21"/>
      <c r="D10" s="88" t="s">
        <v>20</v>
      </c>
      <c r="E10" s="89"/>
      <c r="F10" s="89"/>
      <c r="G10" s="86" t="s">
        <v>60</v>
      </c>
      <c r="H10" s="87"/>
      <c r="J10" s="90" t="s">
        <v>20</v>
      </c>
      <c r="K10" s="91"/>
      <c r="L10" s="91"/>
      <c r="M10" s="92" t="s">
        <v>60</v>
      </c>
      <c r="N10" s="93"/>
    </row>
    <row r="11" spans="1:14" ht="30.75" thickBot="1" x14ac:dyDescent="0.3">
      <c r="A11" s="6" t="s">
        <v>6</v>
      </c>
      <c r="B11" s="44" t="s">
        <v>61</v>
      </c>
      <c r="C11" s="1"/>
      <c r="D11" s="49" t="s">
        <v>45</v>
      </c>
      <c r="E11" s="19" t="s">
        <v>62</v>
      </c>
      <c r="F11" s="19" t="s">
        <v>63</v>
      </c>
      <c r="G11" s="13" t="s">
        <v>64</v>
      </c>
      <c r="H11" s="50" t="s">
        <v>16</v>
      </c>
      <c r="J11" s="49" t="s">
        <v>45</v>
      </c>
      <c r="K11" s="19" t="s">
        <v>62</v>
      </c>
      <c r="L11" s="19" t="s">
        <v>63</v>
      </c>
      <c r="M11" s="13" t="s">
        <v>64</v>
      </c>
      <c r="N11" s="50" t="s">
        <v>16</v>
      </c>
    </row>
    <row r="12" spans="1:14" ht="15.75" thickTop="1" x14ac:dyDescent="0.25">
      <c r="A12" s="101">
        <v>0</v>
      </c>
      <c r="B12" s="15">
        <v>-800</v>
      </c>
      <c r="D12" s="46">
        <v>1</v>
      </c>
      <c r="E12">
        <f>800</f>
        <v>800</v>
      </c>
      <c r="F12">
        <v>300</v>
      </c>
      <c r="G12">
        <f>E12*$E$8</f>
        <v>80</v>
      </c>
      <c r="H12" s="15">
        <f>F12-G12</f>
        <v>220</v>
      </c>
      <c r="J12" s="46">
        <v>1</v>
      </c>
      <c r="K12">
        <f>800</f>
        <v>800</v>
      </c>
      <c r="L12">
        <v>300</v>
      </c>
      <c r="M12">
        <f>K12*$K$8</f>
        <v>24</v>
      </c>
      <c r="N12" s="15">
        <f>L12-M12</f>
        <v>276</v>
      </c>
    </row>
    <row r="13" spans="1:14" ht="16.5" customHeight="1" x14ac:dyDescent="0.25">
      <c r="A13" s="101">
        <v>1</v>
      </c>
      <c r="B13" s="15">
        <v>300</v>
      </c>
      <c r="D13" s="46">
        <v>2</v>
      </c>
      <c r="E13">
        <f>E12-H12</f>
        <v>580</v>
      </c>
      <c r="F13">
        <v>200</v>
      </c>
      <c r="G13">
        <f>E13*$E$8</f>
        <v>58</v>
      </c>
      <c r="H13" s="15">
        <f>F13-G13</f>
        <v>142</v>
      </c>
      <c r="J13" s="46">
        <v>2</v>
      </c>
      <c r="K13">
        <f>K12-N12</f>
        <v>524</v>
      </c>
      <c r="L13">
        <v>200</v>
      </c>
      <c r="M13">
        <f>K13*$K$8</f>
        <v>15.719999999999999</v>
      </c>
      <c r="N13" s="15">
        <f>L13-M13</f>
        <v>184.28</v>
      </c>
    </row>
    <row r="14" spans="1:14" ht="15.75" thickBot="1" x14ac:dyDescent="0.3">
      <c r="A14" s="8">
        <v>2</v>
      </c>
      <c r="B14" s="16">
        <v>200</v>
      </c>
      <c r="D14" s="46">
        <v>3</v>
      </c>
      <c r="E14">
        <f t="shared" ref="E14:E17" si="0">E13-H13</f>
        <v>438</v>
      </c>
      <c r="F14">
        <v>150</v>
      </c>
      <c r="G14">
        <f>E14*$E$8</f>
        <v>43.800000000000004</v>
      </c>
      <c r="H14" s="15">
        <f t="shared" ref="H14:H16" si="1">F14-G14</f>
        <v>106.19999999999999</v>
      </c>
      <c r="J14" s="46">
        <v>3</v>
      </c>
      <c r="K14">
        <f t="shared" ref="K14:K17" si="2">K13-N13</f>
        <v>339.72</v>
      </c>
      <c r="L14">
        <v>150</v>
      </c>
      <c r="M14">
        <f>K14*$K$8</f>
        <v>10.191600000000001</v>
      </c>
      <c r="N14" s="15">
        <f t="shared" ref="N14:N16" si="3">L14-M14</f>
        <v>139.80840000000001</v>
      </c>
    </row>
    <row r="15" spans="1:14" ht="15.75" thickTop="1" x14ac:dyDescent="0.25">
      <c r="A15">
        <v>3</v>
      </c>
      <c r="B15" s="15">
        <v>150</v>
      </c>
      <c r="D15" s="46">
        <v>4</v>
      </c>
      <c r="E15">
        <f t="shared" si="0"/>
        <v>331.8</v>
      </c>
      <c r="F15">
        <v>122</v>
      </c>
      <c r="G15">
        <f>E15*$E$8</f>
        <v>33.18</v>
      </c>
      <c r="H15" s="15">
        <f t="shared" si="1"/>
        <v>88.82</v>
      </c>
      <c r="J15" s="46">
        <v>4</v>
      </c>
      <c r="K15">
        <f t="shared" si="2"/>
        <v>199.91160000000002</v>
      </c>
      <c r="L15">
        <v>122</v>
      </c>
      <c r="M15">
        <f>K15*$K$8</f>
        <v>5.9973480000000006</v>
      </c>
      <c r="N15" s="15">
        <f t="shared" si="3"/>
        <v>116.002652</v>
      </c>
    </row>
    <row r="16" spans="1:14" x14ac:dyDescent="0.25">
      <c r="A16">
        <v>4</v>
      </c>
      <c r="B16" s="15">
        <v>122</v>
      </c>
      <c r="D16" s="46">
        <v>5</v>
      </c>
      <c r="E16">
        <f t="shared" si="0"/>
        <v>242.98000000000002</v>
      </c>
      <c r="F16">
        <v>133</v>
      </c>
      <c r="G16">
        <f>E16*$E$8</f>
        <v>24.298000000000002</v>
      </c>
      <c r="H16" s="15">
        <f t="shared" si="1"/>
        <v>108.702</v>
      </c>
      <c r="J16" s="46">
        <v>5</v>
      </c>
      <c r="K16">
        <f t="shared" si="2"/>
        <v>83.908948000000024</v>
      </c>
      <c r="L16">
        <v>133</v>
      </c>
      <c r="M16">
        <f>K16*$K$8</f>
        <v>2.5172684400000005</v>
      </c>
      <c r="N16" s="15">
        <f t="shared" si="3"/>
        <v>130.48273155999999</v>
      </c>
    </row>
    <row r="17" spans="1:14" ht="15.75" thickBot="1" x14ac:dyDescent="0.3">
      <c r="A17" s="8">
        <v>5</v>
      </c>
      <c r="B17" s="16">
        <v>133</v>
      </c>
      <c r="D17" s="48">
        <v>6</v>
      </c>
      <c r="E17" s="8">
        <f t="shared" si="0"/>
        <v>134.27800000000002</v>
      </c>
      <c r="F17" s="8" t="s">
        <v>65</v>
      </c>
      <c r="G17" s="8"/>
      <c r="H17" s="16"/>
      <c r="J17" s="48">
        <v>6</v>
      </c>
      <c r="K17" s="8">
        <f t="shared" si="2"/>
        <v>-46.573783559999967</v>
      </c>
      <c r="L17" s="8" t="s">
        <v>65</v>
      </c>
      <c r="M17" s="8"/>
      <c r="N17" s="16"/>
    </row>
    <row r="18" spans="1:14" ht="15.75" thickTop="1" x14ac:dyDescent="0.25">
      <c r="A18" s="2"/>
      <c r="B18" s="47"/>
    </row>
    <row r="19" spans="1:14" x14ac:dyDescent="0.25">
      <c r="A19" s="21"/>
      <c r="B19" s="21"/>
      <c r="C19" s="21"/>
    </row>
    <row r="20" spans="1:14" x14ac:dyDescent="0.25">
      <c r="A20" t="s">
        <v>66</v>
      </c>
    </row>
    <row r="21" spans="1:14" x14ac:dyDescent="0.25">
      <c r="A21" t="s">
        <v>67</v>
      </c>
    </row>
    <row r="22" spans="1:14" x14ac:dyDescent="0.25">
      <c r="A22" t="s">
        <v>68</v>
      </c>
    </row>
    <row r="24" spans="1:14" x14ac:dyDescent="0.25">
      <c r="A24" s="85" t="s">
        <v>8</v>
      </c>
      <c r="B24" s="85"/>
      <c r="C24" s="85"/>
    </row>
    <row r="25" spans="1:14" x14ac:dyDescent="0.25">
      <c r="A25" t="s">
        <v>69</v>
      </c>
    </row>
    <row r="26" spans="1:14" ht="15.75" thickBot="1" x14ac:dyDescent="0.3">
      <c r="A26" s="9" t="s">
        <v>10</v>
      </c>
      <c r="B26" s="53">
        <v>5.0684202593074594E-2</v>
      </c>
    </row>
    <row r="27" spans="1:14" x14ac:dyDescent="0.25">
      <c r="A27" s="88" t="s">
        <v>20</v>
      </c>
      <c r="B27" s="89"/>
      <c r="C27" s="89"/>
      <c r="D27" s="86" t="s">
        <v>60</v>
      </c>
      <c r="E27" s="87"/>
      <c r="G27" s="45" t="s">
        <v>6</v>
      </c>
      <c r="H27" s="44" t="s">
        <v>61</v>
      </c>
    </row>
    <row r="28" spans="1:14" ht="30.75" thickBot="1" x14ac:dyDescent="0.3">
      <c r="A28" s="49" t="s">
        <v>45</v>
      </c>
      <c r="B28" s="19" t="s">
        <v>62</v>
      </c>
      <c r="C28" s="19" t="s">
        <v>63</v>
      </c>
      <c r="D28" s="13" t="s">
        <v>64</v>
      </c>
      <c r="E28" s="50" t="s">
        <v>16</v>
      </c>
      <c r="G28" s="52">
        <v>0</v>
      </c>
      <c r="H28" s="51">
        <v>-800</v>
      </c>
    </row>
    <row r="29" spans="1:14" ht="15.75" thickTop="1" x14ac:dyDescent="0.25">
      <c r="A29" s="46">
        <v>1</v>
      </c>
      <c r="B29">
        <f>800</f>
        <v>800</v>
      </c>
      <c r="C29">
        <v>300</v>
      </c>
      <c r="D29">
        <f>B29*$B$26</f>
        <v>40.547362074459677</v>
      </c>
      <c r="E29" s="15">
        <f>C29-D29</f>
        <v>259.45263792554033</v>
      </c>
      <c r="G29" s="46">
        <v>1</v>
      </c>
      <c r="H29" s="15">
        <v>300</v>
      </c>
    </row>
    <row r="30" spans="1:14" x14ac:dyDescent="0.25">
      <c r="A30" s="46">
        <v>2</v>
      </c>
      <c r="B30">
        <f>B29-E29</f>
        <v>540.54736207445967</v>
      </c>
      <c r="C30">
        <v>200</v>
      </c>
      <c r="D30">
        <f>B30*$B$26</f>
        <v>27.397212010533959</v>
      </c>
      <c r="E30" s="15">
        <f>C30-D30</f>
        <v>172.60278798946604</v>
      </c>
      <c r="G30" s="46">
        <v>2</v>
      </c>
      <c r="H30" s="15">
        <v>200</v>
      </c>
    </row>
    <row r="31" spans="1:14" x14ac:dyDescent="0.25">
      <c r="A31" s="46">
        <v>3</v>
      </c>
      <c r="B31">
        <f t="shared" ref="B31:B33" si="4">B30-E30</f>
        <v>367.94457408499363</v>
      </c>
      <c r="C31">
        <v>150</v>
      </c>
      <c r="D31">
        <f t="shared" ref="D31:D33" si="5">B31*$B$26</f>
        <v>18.648977335946363</v>
      </c>
      <c r="E31" s="15">
        <f t="shared" ref="E31:E33" si="6">C31-D31</f>
        <v>131.35102266405363</v>
      </c>
      <c r="G31" s="46">
        <v>3</v>
      </c>
      <c r="H31" s="15">
        <v>150</v>
      </c>
    </row>
    <row r="32" spans="1:14" x14ac:dyDescent="0.25">
      <c r="A32" s="46">
        <v>4</v>
      </c>
      <c r="B32">
        <f t="shared" si="4"/>
        <v>236.59355142094</v>
      </c>
      <c r="C32">
        <v>122</v>
      </c>
      <c r="D32">
        <f t="shared" si="5"/>
        <v>11.991555492433935</v>
      </c>
      <c r="E32" s="15">
        <f t="shared" si="6"/>
        <v>110.00844450756607</v>
      </c>
      <c r="G32" s="46">
        <v>4</v>
      </c>
      <c r="H32" s="15">
        <v>122</v>
      </c>
    </row>
    <row r="33" spans="1:8" ht="15.75" thickBot="1" x14ac:dyDescent="0.3">
      <c r="A33" s="46">
        <v>5</v>
      </c>
      <c r="B33">
        <f t="shared" si="4"/>
        <v>126.58510691337393</v>
      </c>
      <c r="C33">
        <v>133</v>
      </c>
      <c r="D33">
        <f t="shared" si="5"/>
        <v>6.4158652040634516</v>
      </c>
      <c r="E33" s="15">
        <f t="shared" si="6"/>
        <v>126.58413479593655</v>
      </c>
      <c r="G33" s="48">
        <v>5</v>
      </c>
      <c r="H33" s="16">
        <v>133</v>
      </c>
    </row>
    <row r="34" spans="1:8" ht="16.5" thickTop="1" thickBot="1" x14ac:dyDescent="0.3">
      <c r="A34" s="48">
        <v>6</v>
      </c>
      <c r="B34" s="20">
        <f>B33-E33</f>
        <v>9.7211743738512268E-4</v>
      </c>
      <c r="C34" s="8" t="s">
        <v>65</v>
      </c>
      <c r="D34" s="8"/>
      <c r="E34" s="16"/>
      <c r="G34" s="32" t="s">
        <v>10</v>
      </c>
      <c r="H34" s="54">
        <f>IRR(H28:H33)</f>
        <v>5.0683794701226192E-2</v>
      </c>
    </row>
    <row r="35" spans="1:8" ht="15.75" thickTop="1" x14ac:dyDescent="0.25"/>
  </sheetData>
  <mergeCells count="9">
    <mergeCell ref="J10:L10"/>
    <mergeCell ref="M10:N10"/>
    <mergeCell ref="A24:C24"/>
    <mergeCell ref="A1:C1"/>
    <mergeCell ref="A2:C2"/>
    <mergeCell ref="G10:H10"/>
    <mergeCell ref="D10:F10"/>
    <mergeCell ref="A27:C27"/>
    <mergeCell ref="D27:E27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A5AF1D-7AED-40A0-99A2-D15AFD6EDD47}">
  <sheetPr codeName="Sheet6"/>
  <dimension ref="A1:C15"/>
  <sheetViews>
    <sheetView tabSelected="1" workbookViewId="0">
      <selection activeCell="J10" sqref="J10"/>
    </sheetView>
  </sheetViews>
  <sheetFormatPr defaultRowHeight="15" x14ac:dyDescent="0.25"/>
  <cols>
    <col min="1" max="1" width="11.5703125" bestFit="1" customWidth="1"/>
    <col min="2" max="2" width="10.85546875" customWidth="1"/>
  </cols>
  <sheetData>
    <row r="1" spans="1:3" x14ac:dyDescent="0.25">
      <c r="A1" s="84" t="s">
        <v>0</v>
      </c>
      <c r="B1" s="84"/>
      <c r="C1" s="84"/>
    </row>
    <row r="2" spans="1:3" x14ac:dyDescent="0.25">
      <c r="A2" s="85" t="s">
        <v>70</v>
      </c>
      <c r="B2" s="85"/>
      <c r="C2" s="85"/>
    </row>
    <row r="3" spans="1:3" x14ac:dyDescent="0.25">
      <c r="A3" t="s">
        <v>71</v>
      </c>
    </row>
    <row r="4" spans="1:3" x14ac:dyDescent="0.25">
      <c r="B4" s="2"/>
    </row>
    <row r="5" spans="1:3" x14ac:dyDescent="0.25">
      <c r="A5" s="85" t="s">
        <v>8</v>
      </c>
      <c r="B5" s="85"/>
    </row>
    <row r="6" spans="1:3" x14ac:dyDescent="0.25">
      <c r="A6" s="22">
        <f>PMT(13%, 5,100000,,)</f>
        <v>-28431.454335515777</v>
      </c>
    </row>
    <row r="7" spans="1:3" x14ac:dyDescent="0.25">
      <c r="A7" s="7"/>
      <c r="B7" s="51"/>
    </row>
    <row r="8" spans="1:3" x14ac:dyDescent="0.25">
      <c r="A8" s="101"/>
      <c r="B8" s="15"/>
    </row>
    <row r="9" spans="1:3" x14ac:dyDescent="0.25">
      <c r="A9" s="101"/>
      <c r="B9" s="15"/>
    </row>
    <row r="10" spans="1:3" x14ac:dyDescent="0.25">
      <c r="A10" s="101"/>
      <c r="B10" s="15"/>
    </row>
    <row r="11" spans="1:3" x14ac:dyDescent="0.25">
      <c r="A11" s="101"/>
      <c r="B11" s="15"/>
    </row>
    <row r="12" spans="1:3" x14ac:dyDescent="0.25">
      <c r="A12" s="101"/>
      <c r="B12" s="15"/>
    </row>
    <row r="13" spans="1:3" x14ac:dyDescent="0.25">
      <c r="A13" s="101"/>
      <c r="B13" s="15"/>
    </row>
    <row r="14" spans="1:3" ht="15.75" thickBot="1" x14ac:dyDescent="0.3">
      <c r="A14" s="8"/>
      <c r="B14" s="16"/>
    </row>
    <row r="15" spans="1:3" ht="15.75" thickTop="1" x14ac:dyDescent="0.25"/>
  </sheetData>
  <mergeCells count="3">
    <mergeCell ref="A1:C1"/>
    <mergeCell ref="A2:C2"/>
    <mergeCell ref="A5:B5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F240A-1AD3-4B7F-9FB8-EB9994365145}">
  <dimension ref="A1:I67"/>
  <sheetViews>
    <sheetView tabSelected="1" topLeftCell="A4" workbookViewId="0">
      <selection activeCell="J10" sqref="J10"/>
    </sheetView>
  </sheetViews>
  <sheetFormatPr defaultRowHeight="15" x14ac:dyDescent="0.25"/>
  <cols>
    <col min="1" max="1" width="15.28515625" customWidth="1"/>
    <col min="2" max="2" width="10.85546875" customWidth="1"/>
    <col min="3" max="5" width="15.28515625" customWidth="1"/>
    <col min="7" max="7" width="18.85546875" customWidth="1"/>
    <col min="8" max="8" width="11.85546875" bestFit="1" customWidth="1"/>
    <col min="9" max="9" width="10.85546875" bestFit="1" customWidth="1"/>
  </cols>
  <sheetData>
    <row r="1" spans="1:8" x14ac:dyDescent="0.25">
      <c r="A1" s="84" t="s">
        <v>0</v>
      </c>
      <c r="B1" s="84"/>
      <c r="C1" s="84"/>
    </row>
    <row r="2" spans="1:8" x14ac:dyDescent="0.25">
      <c r="A2" s="85" t="s">
        <v>72</v>
      </c>
      <c r="B2" s="85"/>
      <c r="C2" s="85"/>
    </row>
    <row r="3" spans="1:8" x14ac:dyDescent="0.25">
      <c r="A3" t="s">
        <v>73</v>
      </c>
    </row>
    <row r="4" spans="1:8" x14ac:dyDescent="0.25">
      <c r="A4" t="s">
        <v>74</v>
      </c>
    </row>
    <row r="5" spans="1:8" x14ac:dyDescent="0.25">
      <c r="A5" t="s">
        <v>75</v>
      </c>
    </row>
    <row r="7" spans="1:8" x14ac:dyDescent="0.25">
      <c r="A7" s="7" t="s">
        <v>76</v>
      </c>
      <c r="B7" s="51"/>
    </row>
    <row r="8" spans="1:8" x14ac:dyDescent="0.25">
      <c r="A8" s="101" t="s">
        <v>77</v>
      </c>
      <c r="B8" s="15"/>
    </row>
    <row r="9" spans="1:8" x14ac:dyDescent="0.25">
      <c r="A9" s="101" t="s">
        <v>78</v>
      </c>
      <c r="B9" s="15"/>
    </row>
    <row r="10" spans="1:8" x14ac:dyDescent="0.25">
      <c r="A10" s="101" t="s">
        <v>79</v>
      </c>
      <c r="B10" s="15"/>
    </row>
    <row r="11" spans="1:8" x14ac:dyDescent="0.25">
      <c r="A11" s="101" t="s">
        <v>80</v>
      </c>
      <c r="B11" s="15"/>
    </row>
    <row r="12" spans="1:8" x14ac:dyDescent="0.25">
      <c r="A12" s="101"/>
      <c r="B12" s="15"/>
    </row>
    <row r="13" spans="1:8" x14ac:dyDescent="0.25">
      <c r="A13" s="104" t="s">
        <v>8</v>
      </c>
      <c r="B13" s="116"/>
      <c r="C13" s="85"/>
    </row>
    <row r="14" spans="1:8" ht="15.75" thickBot="1" x14ac:dyDescent="0.3">
      <c r="A14" s="8" t="s">
        <v>82</v>
      </c>
      <c r="B14" s="127">
        <v>1.2500000000000001E-2</v>
      </c>
    </row>
    <row r="15" spans="1:8" ht="15.75" thickTop="1" x14ac:dyDescent="0.25">
      <c r="B15" s="47"/>
    </row>
    <row r="16" spans="1:8" x14ac:dyDescent="0.25">
      <c r="A16" s="94" t="s">
        <v>84</v>
      </c>
      <c r="B16" s="94"/>
      <c r="C16" s="94"/>
      <c r="D16" s="94"/>
      <c r="E16" s="94"/>
      <c r="G16" s="1" t="s">
        <v>83</v>
      </c>
      <c r="H16" s="58">
        <f>C19</f>
        <v>417.4612239971438</v>
      </c>
    </row>
    <row r="17" spans="1:9" x14ac:dyDescent="0.25">
      <c r="A17" s="55" t="s">
        <v>81</v>
      </c>
      <c r="B17" s="55" t="s">
        <v>85</v>
      </c>
      <c r="C17" s="55" t="s">
        <v>86</v>
      </c>
      <c r="D17" s="55" t="s">
        <v>64</v>
      </c>
      <c r="E17" s="55" t="s">
        <v>16</v>
      </c>
      <c r="G17" s="1" t="s">
        <v>87</v>
      </c>
      <c r="H17" s="55" t="s">
        <v>88</v>
      </c>
      <c r="I17" s="3" t="s">
        <v>37</v>
      </c>
    </row>
    <row r="18" spans="1:9" x14ac:dyDescent="0.25">
      <c r="A18" s="55"/>
      <c r="B18" s="55"/>
      <c r="C18" s="55"/>
      <c r="D18" s="55"/>
      <c r="E18" s="55"/>
      <c r="G18" s="56">
        <f>PV(B14,48,-C19,,0)</f>
        <v>14999.999999999993</v>
      </c>
      <c r="H18" s="3"/>
      <c r="I18" s="56">
        <f>NPV(B14,C19:C66)</f>
        <v>15000.00000000002</v>
      </c>
    </row>
    <row r="19" spans="1:9" x14ac:dyDescent="0.25">
      <c r="A19">
        <v>1</v>
      </c>
      <c r="B19" s="23">
        <v>15000</v>
      </c>
      <c r="C19" s="23">
        <f>PMT($B$14,48, -15000,,0)</f>
        <v>417.4612239971438</v>
      </c>
      <c r="D19" s="23">
        <f t="shared" ref="D19:D32" si="0">B19*$B$14</f>
        <v>187.5</v>
      </c>
      <c r="E19" s="23">
        <f>C19-D19</f>
        <v>229.9612239971438</v>
      </c>
      <c r="G19" s="57">
        <f>(B19/(1+$B$14)^A19)</f>
        <v>14814.814814814816</v>
      </c>
    </row>
    <row r="20" spans="1:9" x14ac:dyDescent="0.25">
      <c r="A20">
        <v>2</v>
      </c>
      <c r="B20" s="23">
        <f>B19-E19</f>
        <v>14770.038776002857</v>
      </c>
      <c r="C20" s="23">
        <f>PMT($B$14,48, -15000,,0)</f>
        <v>417.4612239971438</v>
      </c>
      <c r="D20" s="23">
        <f t="shared" si="0"/>
        <v>184.62548470003571</v>
      </c>
      <c r="E20" s="23">
        <f t="shared" ref="E20:E66" si="1">C20-D20</f>
        <v>232.83573929710809</v>
      </c>
      <c r="G20" s="57">
        <f t="shared" ref="G20:G66" si="2">(B20/(1+$B$14)^A20)</f>
        <v>14407.597647678445</v>
      </c>
      <c r="H20" s="22"/>
    </row>
    <row r="21" spans="1:9" x14ac:dyDescent="0.25">
      <c r="A21">
        <v>3</v>
      </c>
      <c r="B21" s="23">
        <f t="shared" ref="B21:B67" si="3">B20-E20</f>
        <v>14537.203036705749</v>
      </c>
      <c r="C21" s="23">
        <f t="shared" ref="C21:C66" si="4">PMT($B$14,48, -15000,,0)</f>
        <v>417.4612239971438</v>
      </c>
      <c r="D21" s="23">
        <f t="shared" si="0"/>
        <v>181.71503795882188</v>
      </c>
      <c r="E21" s="23">
        <f t="shared" si="1"/>
        <v>235.74618603832192</v>
      </c>
      <c r="G21" s="57">
        <f t="shared" si="2"/>
        <v>14005.407852975861</v>
      </c>
    </row>
    <row r="22" spans="1:9" x14ac:dyDescent="0.25">
      <c r="A22">
        <v>4</v>
      </c>
      <c r="B22" s="23">
        <f t="shared" si="3"/>
        <v>14301.456850667426</v>
      </c>
      <c r="C22" s="23">
        <f t="shared" si="4"/>
        <v>417.4612239971438</v>
      </c>
      <c r="D22" s="23">
        <f t="shared" si="0"/>
        <v>178.76821063334285</v>
      </c>
      <c r="E22" s="23">
        <f t="shared" si="1"/>
        <v>238.69301336380096</v>
      </c>
      <c r="G22" s="57">
        <f t="shared" si="2"/>
        <v>13608.183364380711</v>
      </c>
    </row>
    <row r="23" spans="1:9" x14ac:dyDescent="0.25">
      <c r="A23">
        <v>5</v>
      </c>
      <c r="B23" s="23">
        <f t="shared" si="3"/>
        <v>14062.763837303624</v>
      </c>
      <c r="C23" s="23">
        <f t="shared" si="4"/>
        <v>417.4612239971438</v>
      </c>
      <c r="D23" s="23">
        <f t="shared" si="0"/>
        <v>175.78454796629532</v>
      </c>
      <c r="E23" s="23">
        <f t="shared" si="1"/>
        <v>241.67667603084848</v>
      </c>
      <c r="G23" s="57">
        <f t="shared" si="2"/>
        <v>13215.862881817604</v>
      </c>
    </row>
    <row r="24" spans="1:9" x14ac:dyDescent="0.25">
      <c r="A24">
        <v>6</v>
      </c>
      <c r="B24" s="23">
        <f t="shared" si="3"/>
        <v>13821.087161272775</v>
      </c>
      <c r="C24" s="23">
        <f t="shared" si="4"/>
        <v>417.4612239971438</v>
      </c>
      <c r="D24" s="23">
        <f t="shared" si="0"/>
        <v>172.7635895159097</v>
      </c>
      <c r="E24" s="23">
        <f t="shared" si="1"/>
        <v>244.6976344812341</v>
      </c>
      <c r="G24" s="57">
        <f t="shared" si="2"/>
        <v>12828.385862002186</v>
      </c>
    </row>
    <row r="25" spans="1:9" x14ac:dyDescent="0.25">
      <c r="A25">
        <v>7</v>
      </c>
      <c r="B25" s="23">
        <f t="shared" si="3"/>
        <v>13576.389526791541</v>
      </c>
      <c r="C25" s="23">
        <f t="shared" si="4"/>
        <v>417.4612239971438</v>
      </c>
      <c r="D25" s="23">
        <f t="shared" si="0"/>
        <v>169.70486908489428</v>
      </c>
      <c r="E25" s="23">
        <f t="shared" si="1"/>
        <v>247.75635491224952</v>
      </c>
      <c r="G25" s="57">
        <f t="shared" si="2"/>
        <v>12445.692509098073</v>
      </c>
    </row>
    <row r="26" spans="1:9" x14ac:dyDescent="0.25">
      <c r="A26">
        <v>8</v>
      </c>
      <c r="B26" s="23">
        <f t="shared" si="3"/>
        <v>13328.633171879292</v>
      </c>
      <c r="C26" s="23">
        <f t="shared" si="4"/>
        <v>417.4612239971438</v>
      </c>
      <c r="D26" s="23">
        <f t="shared" si="0"/>
        <v>166.60791464849115</v>
      </c>
      <c r="E26" s="23">
        <f t="shared" si="1"/>
        <v>250.85330934865266</v>
      </c>
      <c r="G26" s="57">
        <f t="shared" si="2"/>
        <v>12067.723765489069</v>
      </c>
    </row>
    <row r="27" spans="1:9" x14ac:dyDescent="0.25">
      <c r="A27">
        <v>9</v>
      </c>
      <c r="B27" s="23">
        <f t="shared" si="3"/>
        <v>13077.779862530639</v>
      </c>
      <c r="C27" s="23">
        <f t="shared" si="4"/>
        <v>417.4612239971438</v>
      </c>
      <c r="D27" s="23">
        <f t="shared" si="0"/>
        <v>163.472248281633</v>
      </c>
      <c r="E27" s="23">
        <f t="shared" si="1"/>
        <v>253.9889757155108</v>
      </c>
      <c r="G27" s="57">
        <f t="shared" si="2"/>
        <v>11694.421302665362</v>
      </c>
    </row>
    <row r="28" spans="1:9" x14ac:dyDescent="0.25">
      <c r="A28">
        <v>10</v>
      </c>
      <c r="B28" s="23">
        <f t="shared" si="3"/>
        <v>12823.790886815128</v>
      </c>
      <c r="C28" s="23">
        <f t="shared" si="4"/>
        <v>417.4612239971438</v>
      </c>
      <c r="D28" s="23">
        <f t="shared" si="0"/>
        <v>160.29738608518912</v>
      </c>
      <c r="E28" s="23">
        <f t="shared" si="1"/>
        <v>257.16383791195472</v>
      </c>
      <c r="G28" s="57">
        <f t="shared" si="2"/>
        <v>11325.727512222194</v>
      </c>
    </row>
    <row r="29" spans="1:9" x14ac:dyDescent="0.25">
      <c r="A29">
        <v>11</v>
      </c>
      <c r="B29" s="23">
        <f t="shared" si="3"/>
        <v>12566.627048903174</v>
      </c>
      <c r="C29" s="23">
        <f t="shared" si="4"/>
        <v>417.4612239971438</v>
      </c>
      <c r="D29" s="23">
        <f t="shared" si="0"/>
        <v>157.08283811128967</v>
      </c>
      <c r="E29" s="23">
        <f t="shared" si="1"/>
        <v>260.37838588585413</v>
      </c>
      <c r="G29" s="57">
        <f t="shared" si="2"/>
        <v>10961.585496969688</v>
      </c>
    </row>
    <row r="30" spans="1:9" x14ac:dyDescent="0.25">
      <c r="A30">
        <v>12</v>
      </c>
      <c r="B30" s="23">
        <f t="shared" si="3"/>
        <v>12306.248663017321</v>
      </c>
      <c r="C30" s="23">
        <f t="shared" si="4"/>
        <v>417.4612239971438</v>
      </c>
      <c r="D30" s="23">
        <f t="shared" si="0"/>
        <v>153.82810828771653</v>
      </c>
      <c r="E30" s="23">
        <f t="shared" si="1"/>
        <v>263.63311570942727</v>
      </c>
      <c r="G30" s="57">
        <f t="shared" si="2"/>
        <v>10601.939062152393</v>
      </c>
    </row>
    <row r="31" spans="1:9" x14ac:dyDescent="0.25">
      <c r="A31">
        <v>13</v>
      </c>
      <c r="B31" s="23">
        <f t="shared" si="3"/>
        <v>12042.615547307894</v>
      </c>
      <c r="C31" s="23">
        <f t="shared" si="4"/>
        <v>417.4612239971438</v>
      </c>
      <c r="D31" s="23">
        <f t="shared" si="0"/>
        <v>150.53269434134867</v>
      </c>
      <c r="E31" s="23">
        <f t="shared" si="1"/>
        <v>266.92852965579516</v>
      </c>
      <c r="G31" s="57">
        <f t="shared" si="2"/>
        <v>10246.732706777291</v>
      </c>
    </row>
    <row r="32" spans="1:9" x14ac:dyDescent="0.25">
      <c r="A32">
        <v>14</v>
      </c>
      <c r="B32" s="23">
        <f t="shared" si="3"/>
        <v>11775.687017652099</v>
      </c>
      <c r="C32" s="23">
        <f t="shared" si="4"/>
        <v>417.4612239971438</v>
      </c>
      <c r="D32" s="23">
        <f t="shared" si="0"/>
        <v>147.19608772065124</v>
      </c>
      <c r="E32" s="23">
        <f t="shared" si="1"/>
        <v>270.26513627649257</v>
      </c>
      <c r="G32" s="57">
        <f t="shared" si="2"/>
        <v>9895.9116150487898</v>
      </c>
    </row>
    <row r="33" spans="1:7" x14ac:dyDescent="0.25">
      <c r="A33">
        <v>15</v>
      </c>
      <c r="B33" s="23">
        <f t="shared" si="3"/>
        <v>11505.421881375607</v>
      </c>
      <c r="C33" s="23">
        <f t="shared" si="4"/>
        <v>417.4612239971438</v>
      </c>
      <c r="D33" s="23">
        <f t="shared" ref="D33:D66" si="5">B33*$B$14</f>
        <v>143.81777351719509</v>
      </c>
      <c r="E33" s="23">
        <f t="shared" si="1"/>
        <v>273.64345047994868</v>
      </c>
      <c r="G33" s="57">
        <f t="shared" si="2"/>
        <v>9549.4216479095339</v>
      </c>
    </row>
    <row r="34" spans="1:7" x14ac:dyDescent="0.25">
      <c r="A34">
        <v>16</v>
      </c>
      <c r="B34" s="23">
        <f t="shared" si="3"/>
        <v>11231.778430895658</v>
      </c>
      <c r="C34" s="23">
        <f t="shared" si="4"/>
        <v>417.4612239971438</v>
      </c>
      <c r="D34" s="23">
        <f t="shared" si="5"/>
        <v>140.39723038619573</v>
      </c>
      <c r="E34" s="23">
        <f t="shared" si="1"/>
        <v>277.06399361094805</v>
      </c>
      <c r="G34" s="57">
        <f t="shared" si="2"/>
        <v>9207.2093346855745</v>
      </c>
    </row>
    <row r="35" spans="1:7" x14ac:dyDescent="0.25">
      <c r="A35">
        <v>17</v>
      </c>
      <c r="B35" s="23">
        <f t="shared" si="3"/>
        <v>10954.714437284711</v>
      </c>
      <c r="C35" s="23">
        <f t="shared" si="4"/>
        <v>417.4612239971438</v>
      </c>
      <c r="D35" s="23">
        <f t="shared" si="5"/>
        <v>136.93393046605888</v>
      </c>
      <c r="E35" s="23">
        <f t="shared" si="1"/>
        <v>280.52729353108492</v>
      </c>
      <c r="G35" s="57">
        <f t="shared" si="2"/>
        <v>8869.2218648347516</v>
      </c>
    </row>
    <row r="36" spans="1:7" x14ac:dyDescent="0.25">
      <c r="A36">
        <v>18</v>
      </c>
      <c r="B36" s="23">
        <f t="shared" si="3"/>
        <v>10674.187143753627</v>
      </c>
      <c r="C36" s="23">
        <f t="shared" si="4"/>
        <v>417.4612239971438</v>
      </c>
      <c r="D36" s="23">
        <f t="shared" si="5"/>
        <v>133.42733929692034</v>
      </c>
      <c r="E36" s="23">
        <f t="shared" si="1"/>
        <v>284.03388470022344</v>
      </c>
      <c r="G36" s="57">
        <f t="shared" si="2"/>
        <v>8535.4070797969016</v>
      </c>
    </row>
    <row r="37" spans="1:7" x14ac:dyDescent="0.25">
      <c r="A37">
        <v>19</v>
      </c>
      <c r="B37" s="23">
        <f t="shared" si="3"/>
        <v>10390.153259053403</v>
      </c>
      <c r="C37" s="23">
        <f t="shared" si="4"/>
        <v>417.4612239971438</v>
      </c>
      <c r="D37" s="23">
        <f t="shared" si="5"/>
        <v>129.87691573816753</v>
      </c>
      <c r="E37" s="23">
        <f t="shared" si="1"/>
        <v>287.58430825897631</v>
      </c>
      <c r="G37" s="57">
        <f t="shared" si="2"/>
        <v>8205.7134649447034</v>
      </c>
    </row>
    <row r="38" spans="1:7" x14ac:dyDescent="0.25">
      <c r="A38">
        <v>20</v>
      </c>
      <c r="B38" s="23">
        <f t="shared" si="3"/>
        <v>10102.568950794426</v>
      </c>
      <c r="C38" s="23">
        <f t="shared" si="4"/>
        <v>417.4612239971438</v>
      </c>
      <c r="D38" s="23">
        <f t="shared" si="5"/>
        <v>126.28211188493033</v>
      </c>
      <c r="E38" s="23">
        <f t="shared" si="1"/>
        <v>291.17911211221349</v>
      </c>
      <c r="G38" s="57">
        <f t="shared" si="2"/>
        <v>7880.0901416338911</v>
      </c>
    </row>
    <row r="39" spans="1:7" x14ac:dyDescent="0.25">
      <c r="A39">
        <v>21</v>
      </c>
      <c r="B39" s="23">
        <f t="shared" si="3"/>
        <v>9811.3898386822129</v>
      </c>
      <c r="C39" s="23">
        <f t="shared" si="4"/>
        <v>417.4612239971438</v>
      </c>
      <c r="D39" s="23">
        <f t="shared" si="5"/>
        <v>122.64237298352766</v>
      </c>
      <c r="E39" s="23">
        <f t="shared" si="1"/>
        <v>294.81885101361615</v>
      </c>
      <c r="G39" s="57">
        <f t="shared" si="2"/>
        <v>7558.4868593516085</v>
      </c>
    </row>
    <row r="40" spans="1:7" x14ac:dyDescent="0.25">
      <c r="A40">
        <v>22</v>
      </c>
      <c r="B40" s="23">
        <f t="shared" si="3"/>
        <v>9516.570987668596</v>
      </c>
      <c r="C40" s="23">
        <f t="shared" si="4"/>
        <v>417.4612239971438</v>
      </c>
      <c r="D40" s="23">
        <f t="shared" si="5"/>
        <v>118.95713734585746</v>
      </c>
      <c r="E40" s="23">
        <f t="shared" si="1"/>
        <v>298.50408665128634</v>
      </c>
      <c r="G40" s="57">
        <f t="shared" si="2"/>
        <v>7240.8539879616974</v>
      </c>
    </row>
    <row r="41" spans="1:7" x14ac:dyDescent="0.25">
      <c r="A41">
        <v>23</v>
      </c>
      <c r="B41" s="23">
        <f t="shared" si="3"/>
        <v>9218.0669010173096</v>
      </c>
      <c r="C41" s="23">
        <f t="shared" si="4"/>
        <v>417.4612239971438</v>
      </c>
      <c r="D41" s="23">
        <f t="shared" si="5"/>
        <v>115.22583626271637</v>
      </c>
      <c r="E41" s="23">
        <f t="shared" si="1"/>
        <v>302.23538773442743</v>
      </c>
      <c r="G41" s="57">
        <f t="shared" si="2"/>
        <v>6927.1425100457373</v>
      </c>
    </row>
    <row r="42" spans="1:7" x14ac:dyDescent="0.25">
      <c r="A42">
        <v>24</v>
      </c>
      <c r="B42" s="23">
        <f t="shared" si="3"/>
        <v>8915.831513282883</v>
      </c>
      <c r="C42" s="23">
        <f t="shared" si="4"/>
        <v>417.4612239971438</v>
      </c>
      <c r="D42" s="23">
        <f t="shared" si="5"/>
        <v>111.44789391603604</v>
      </c>
      <c r="E42" s="23">
        <f t="shared" si="1"/>
        <v>306.01333008110777</v>
      </c>
      <c r="G42" s="57">
        <f t="shared" si="2"/>
        <v>6617.3040133386148</v>
      </c>
    </row>
    <row r="43" spans="1:7" x14ac:dyDescent="0.25">
      <c r="A43">
        <v>25</v>
      </c>
      <c r="B43" s="23">
        <f t="shared" si="3"/>
        <v>8609.8181832017744</v>
      </c>
      <c r="C43" s="23">
        <f t="shared" si="4"/>
        <v>417.4612239971438</v>
      </c>
      <c r="D43" s="23">
        <f t="shared" si="5"/>
        <v>107.62272729002218</v>
      </c>
      <c r="E43" s="23">
        <f t="shared" si="1"/>
        <v>309.83849670712164</v>
      </c>
      <c r="G43" s="57">
        <f t="shared" si="2"/>
        <v>6311.2906832575072</v>
      </c>
    </row>
    <row r="44" spans="1:7" x14ac:dyDescent="0.25">
      <c r="A44">
        <v>26</v>
      </c>
      <c r="B44" s="23">
        <f t="shared" si="3"/>
        <v>8299.9796864946529</v>
      </c>
      <c r="C44" s="23">
        <f t="shared" si="4"/>
        <v>417.4612239971438</v>
      </c>
      <c r="D44" s="23">
        <f t="shared" si="5"/>
        <v>103.74974608118316</v>
      </c>
      <c r="E44" s="23">
        <f t="shared" si="1"/>
        <v>313.71147791596064</v>
      </c>
      <c r="G44" s="57">
        <f t="shared" si="2"/>
        <v>6009.0552955230787</v>
      </c>
    </row>
    <row r="45" spans="1:7" x14ac:dyDescent="0.25">
      <c r="A45">
        <v>27</v>
      </c>
      <c r="B45" s="23">
        <f t="shared" si="3"/>
        <v>7986.2682085786919</v>
      </c>
      <c r="C45" s="23">
        <f t="shared" si="4"/>
        <v>417.4612239971438</v>
      </c>
      <c r="D45" s="23">
        <f t="shared" si="5"/>
        <v>99.828352607233654</v>
      </c>
      <c r="E45" s="23">
        <f t="shared" si="1"/>
        <v>317.63287138991018</v>
      </c>
      <c r="G45" s="57">
        <f t="shared" si="2"/>
        <v>5710.5512088717933</v>
      </c>
    </row>
    <row r="46" spans="1:7" x14ac:dyDescent="0.25">
      <c r="A46">
        <v>28</v>
      </c>
      <c r="B46" s="23">
        <f t="shared" si="3"/>
        <v>7668.6353371887817</v>
      </c>
      <c r="C46" s="23">
        <f t="shared" si="4"/>
        <v>417.4612239971438</v>
      </c>
      <c r="D46" s="23">
        <f t="shared" si="5"/>
        <v>95.857941714859777</v>
      </c>
      <c r="E46" s="23">
        <f t="shared" si="1"/>
        <v>321.603282282284</v>
      </c>
      <c r="G46" s="57">
        <f t="shared" si="2"/>
        <v>5415.7323578581772</v>
      </c>
    </row>
    <row r="47" spans="1:7" x14ac:dyDescent="0.25">
      <c r="A47">
        <v>29</v>
      </c>
      <c r="B47" s="23">
        <f t="shared" si="3"/>
        <v>7347.0320549064982</v>
      </c>
      <c r="C47" s="23">
        <f t="shared" si="4"/>
        <v>417.4612239971438</v>
      </c>
      <c r="D47" s="23">
        <f t="shared" si="5"/>
        <v>91.837900686331238</v>
      </c>
      <c r="E47" s="23">
        <f t="shared" si="1"/>
        <v>325.62332331081257</v>
      </c>
      <c r="G47" s="57">
        <f t="shared" si="2"/>
        <v>5124.553245745964</v>
      </c>
    </row>
    <row r="48" spans="1:7" x14ac:dyDescent="0.25">
      <c r="A48">
        <v>30</v>
      </c>
      <c r="B48" s="23">
        <f t="shared" si="3"/>
        <v>7021.4087315956858</v>
      </c>
      <c r="C48" s="23">
        <f t="shared" si="4"/>
        <v>417.4612239971438</v>
      </c>
      <c r="D48" s="23">
        <f t="shared" si="5"/>
        <v>87.767609144946078</v>
      </c>
      <c r="E48" s="23">
        <f t="shared" si="1"/>
        <v>329.6936148521977</v>
      </c>
      <c r="G48" s="57">
        <f t="shared" si="2"/>
        <v>4836.9689374869868</v>
      </c>
    </row>
    <row r="49" spans="1:7" x14ac:dyDescent="0.25">
      <c r="A49">
        <v>31</v>
      </c>
      <c r="B49" s="23">
        <f t="shared" si="3"/>
        <v>6691.7151167434877</v>
      </c>
      <c r="C49" s="23">
        <f t="shared" si="4"/>
        <v>417.4612239971438</v>
      </c>
      <c r="D49" s="23">
        <f t="shared" si="5"/>
        <v>83.646438959293604</v>
      </c>
      <c r="E49" s="23">
        <f t="shared" si="1"/>
        <v>333.81478503785019</v>
      </c>
      <c r="G49" s="57">
        <f t="shared" si="2"/>
        <v>4552.9350527867646</v>
      </c>
    </row>
    <row r="50" spans="1:7" x14ac:dyDescent="0.25">
      <c r="A50">
        <v>32</v>
      </c>
      <c r="B50" s="23">
        <f t="shared" si="3"/>
        <v>6357.9003317056377</v>
      </c>
      <c r="C50" s="23">
        <f t="shared" si="4"/>
        <v>417.4612239971438</v>
      </c>
      <c r="D50" s="23">
        <f t="shared" si="5"/>
        <v>79.473754146320474</v>
      </c>
      <c r="E50" s="23">
        <f t="shared" si="1"/>
        <v>337.98746985082335</v>
      </c>
      <c r="G50" s="57">
        <f t="shared" si="2"/>
        <v>4272.4077592556787</v>
      </c>
    </row>
    <row r="51" spans="1:7" x14ac:dyDescent="0.25">
      <c r="A51">
        <v>33</v>
      </c>
      <c r="B51" s="23">
        <f t="shared" si="3"/>
        <v>6019.9128618548148</v>
      </c>
      <c r="C51" s="23">
        <f t="shared" si="4"/>
        <v>417.4612239971438</v>
      </c>
      <c r="D51" s="23">
        <f t="shared" si="5"/>
        <v>75.248910773185187</v>
      </c>
      <c r="E51" s="23">
        <f t="shared" si="1"/>
        <v>342.21231322395863</v>
      </c>
      <c r="G51" s="57">
        <f t="shared" si="2"/>
        <v>3995.3437656447309</v>
      </c>
    </row>
    <row r="52" spans="1:7" x14ac:dyDescent="0.25">
      <c r="A52">
        <v>34</v>
      </c>
      <c r="B52" s="23">
        <f t="shared" si="3"/>
        <v>5677.7005486308562</v>
      </c>
      <c r="C52" s="23">
        <f t="shared" si="4"/>
        <v>417.4612239971438</v>
      </c>
      <c r="D52" s="23">
        <f t="shared" si="5"/>
        <v>70.971256857885706</v>
      </c>
      <c r="E52" s="23">
        <f t="shared" si="1"/>
        <v>346.48996713925811</v>
      </c>
      <c r="G52" s="57">
        <f t="shared" si="2"/>
        <v>3721.7003151647823</v>
      </c>
    </row>
    <row r="53" spans="1:7" x14ac:dyDescent="0.25">
      <c r="A53">
        <v>35</v>
      </c>
      <c r="B53" s="23">
        <f t="shared" si="3"/>
        <v>5331.2105814915985</v>
      </c>
      <c r="C53" s="23">
        <f t="shared" si="4"/>
        <v>417.4612239971438</v>
      </c>
      <c r="D53" s="23">
        <f t="shared" si="5"/>
        <v>66.64013226864499</v>
      </c>
      <c r="E53" s="23">
        <f t="shared" si="1"/>
        <v>350.8210917284988</v>
      </c>
      <c r="G53" s="57">
        <f t="shared" si="2"/>
        <v>3451.43517888829</v>
      </c>
    </row>
    <row r="54" spans="1:7" x14ac:dyDescent="0.25">
      <c r="A54">
        <v>36</v>
      </c>
      <c r="B54" s="23">
        <f t="shared" si="3"/>
        <v>4980.3894897630998</v>
      </c>
      <c r="C54" s="23">
        <f t="shared" si="4"/>
        <v>417.4612239971438</v>
      </c>
      <c r="D54" s="23">
        <f t="shared" si="5"/>
        <v>62.254868622038749</v>
      </c>
      <c r="E54" s="23">
        <f t="shared" si="1"/>
        <v>355.20635537510503</v>
      </c>
      <c r="G54" s="57">
        <f t="shared" si="2"/>
        <v>3184.506649232495</v>
      </c>
    </row>
    <row r="55" spans="1:7" x14ac:dyDescent="0.25">
      <c r="A55">
        <v>37</v>
      </c>
      <c r="B55" s="23">
        <f t="shared" si="3"/>
        <v>4625.1831343879949</v>
      </c>
      <c r="C55" s="23">
        <f t="shared" si="4"/>
        <v>417.4612239971438</v>
      </c>
      <c r="D55" s="23">
        <f t="shared" si="5"/>
        <v>57.814789179849939</v>
      </c>
      <c r="E55" s="23">
        <f t="shared" si="1"/>
        <v>359.64643481729388</v>
      </c>
      <c r="G55" s="57">
        <f t="shared" si="2"/>
        <v>2920.8735335230676</v>
      </c>
    </row>
    <row r="56" spans="1:7" x14ac:dyDescent="0.25">
      <c r="A56">
        <v>38</v>
      </c>
      <c r="B56" s="23">
        <f t="shared" si="3"/>
        <v>4265.5366995707009</v>
      </c>
      <c r="C56" s="23">
        <f t="shared" si="4"/>
        <v>417.4612239971438</v>
      </c>
      <c r="D56" s="23">
        <f t="shared" si="5"/>
        <v>53.319208744633762</v>
      </c>
      <c r="E56" s="23">
        <f t="shared" si="1"/>
        <v>364.14201525251002</v>
      </c>
      <c r="G56" s="57">
        <f t="shared" si="2"/>
        <v>2660.4951476372134</v>
      </c>
    </row>
    <row r="57" spans="1:7" x14ac:dyDescent="0.25">
      <c r="A57">
        <v>39</v>
      </c>
      <c r="B57" s="23">
        <f t="shared" si="3"/>
        <v>3901.3946843181907</v>
      </c>
      <c r="C57" s="23">
        <f t="shared" si="4"/>
        <v>417.4612239971438</v>
      </c>
      <c r="D57" s="23">
        <f t="shared" si="5"/>
        <v>48.767433553977384</v>
      </c>
      <c r="E57" s="23">
        <f t="shared" si="1"/>
        <v>368.69379044316645</v>
      </c>
      <c r="G57" s="57">
        <f t="shared" si="2"/>
        <v>2403.3313097252585</v>
      </c>
    </row>
    <row r="58" spans="1:7" x14ac:dyDescent="0.25">
      <c r="A58">
        <v>40</v>
      </c>
      <c r="B58" s="23">
        <f t="shared" si="3"/>
        <v>3532.7008938750241</v>
      </c>
      <c r="C58" s="23">
        <f t="shared" si="4"/>
        <v>417.4612239971438</v>
      </c>
      <c r="D58" s="23">
        <f t="shared" si="5"/>
        <v>44.158761173437803</v>
      </c>
      <c r="E58" s="23">
        <f t="shared" si="1"/>
        <v>373.30246282370598</v>
      </c>
      <c r="G58" s="57">
        <f t="shared" si="2"/>
        <v>2149.3423340097474</v>
      </c>
    </row>
    <row r="59" spans="1:7" x14ac:dyDescent="0.25">
      <c r="A59">
        <v>41</v>
      </c>
      <c r="B59" s="23">
        <f t="shared" si="3"/>
        <v>3159.3984310513183</v>
      </c>
      <c r="C59" s="23">
        <f t="shared" si="4"/>
        <v>417.4612239971438</v>
      </c>
      <c r="D59" s="23">
        <f t="shared" si="5"/>
        <v>39.49248038814148</v>
      </c>
      <c r="E59" s="23">
        <f t="shared" si="1"/>
        <v>377.96874360900233</v>
      </c>
      <c r="G59" s="57">
        <f t="shared" si="2"/>
        <v>1898.4890246610948</v>
      </c>
    </row>
    <row r="60" spans="1:7" x14ac:dyDescent="0.25">
      <c r="A60">
        <v>42</v>
      </c>
      <c r="B60" s="23">
        <f t="shared" si="3"/>
        <v>2781.4296874423162</v>
      </c>
      <c r="C60" s="23">
        <f t="shared" si="4"/>
        <v>417.4612239971438</v>
      </c>
      <c r="D60" s="23">
        <f t="shared" si="5"/>
        <v>34.767871093028951</v>
      </c>
      <c r="E60" s="23">
        <f t="shared" si="1"/>
        <v>382.69335290411487</v>
      </c>
      <c r="G60" s="57">
        <f t="shared" si="2"/>
        <v>1650.7326697488454</v>
      </c>
    </row>
    <row r="61" spans="1:7" x14ac:dyDescent="0.25">
      <c r="A61">
        <v>43</v>
      </c>
      <c r="B61" s="23">
        <f t="shared" si="3"/>
        <v>2398.7363345382014</v>
      </c>
      <c r="C61" s="23">
        <f t="shared" si="4"/>
        <v>417.4612239971438</v>
      </c>
      <c r="D61" s="23">
        <f t="shared" si="5"/>
        <v>29.98420418172752</v>
      </c>
      <c r="E61" s="23">
        <f t="shared" si="1"/>
        <v>387.47701981541627</v>
      </c>
      <c r="G61" s="57">
        <f t="shared" si="2"/>
        <v>1406.0350352676116</v>
      </c>
    </row>
    <row r="62" spans="1:7" x14ac:dyDescent="0.25">
      <c r="A62">
        <v>44</v>
      </c>
      <c r="B62" s="23">
        <f t="shared" si="3"/>
        <v>2011.2593147227851</v>
      </c>
      <c r="C62" s="23">
        <f t="shared" si="4"/>
        <v>417.4612239971438</v>
      </c>
      <c r="D62" s="23">
        <f t="shared" si="5"/>
        <v>25.140741434034815</v>
      </c>
      <c r="E62" s="23">
        <f t="shared" si="1"/>
        <v>392.32048256310901</v>
      </c>
      <c r="G62" s="57">
        <f t="shared" si="2"/>
        <v>1164.3583592367627</v>
      </c>
    </row>
    <row r="63" spans="1:7" x14ac:dyDescent="0.25">
      <c r="A63">
        <v>45</v>
      </c>
      <c r="B63" s="23">
        <f t="shared" si="3"/>
        <v>1618.9388321596762</v>
      </c>
      <c r="C63" s="23">
        <f t="shared" si="4"/>
        <v>417.4612239971438</v>
      </c>
      <c r="D63" s="23">
        <f t="shared" si="5"/>
        <v>20.236735401995954</v>
      </c>
      <c r="E63" s="23">
        <f t="shared" si="1"/>
        <v>397.22448859514788</v>
      </c>
      <c r="G63" s="57">
        <f t="shared" si="2"/>
        <v>925.66534587296189</v>
      </c>
    </row>
    <row r="64" spans="1:7" x14ac:dyDescent="0.25">
      <c r="A64">
        <v>46</v>
      </c>
      <c r="B64" s="23">
        <f t="shared" si="3"/>
        <v>1221.7143435645282</v>
      </c>
      <c r="C64" s="23">
        <f t="shared" si="4"/>
        <v>417.4612239971438</v>
      </c>
      <c r="D64" s="23">
        <f t="shared" si="5"/>
        <v>15.271429294556604</v>
      </c>
      <c r="E64" s="23">
        <f t="shared" si="1"/>
        <v>402.18979470258722</v>
      </c>
      <c r="G64" s="57">
        <f t="shared" si="2"/>
        <v>689.91915983463969</v>
      </c>
    </row>
    <row r="65" spans="1:7" x14ac:dyDescent="0.25">
      <c r="A65">
        <v>47</v>
      </c>
      <c r="B65" s="23">
        <f t="shared" si="3"/>
        <v>819.52454886194096</v>
      </c>
      <c r="C65" s="23">
        <f t="shared" si="4"/>
        <v>417.4612239971438</v>
      </c>
      <c r="D65" s="23">
        <f t="shared" si="5"/>
        <v>10.244056860774263</v>
      </c>
      <c r="E65" s="23">
        <f t="shared" si="1"/>
        <v>407.21716713636954</v>
      </c>
      <c r="G65" s="57">
        <f t="shared" si="2"/>
        <v>457.08342053753154</v>
      </c>
    </row>
    <row r="66" spans="1:7" x14ac:dyDescent="0.25">
      <c r="A66">
        <v>48</v>
      </c>
      <c r="B66" s="23">
        <f t="shared" si="3"/>
        <v>412.30738172557142</v>
      </c>
      <c r="C66" s="23">
        <f t="shared" si="4"/>
        <v>417.4612239971438</v>
      </c>
      <c r="D66" s="23">
        <f t="shared" si="5"/>
        <v>5.1538422715696433</v>
      </c>
      <c r="E66" s="23">
        <f t="shared" si="1"/>
        <v>412.30738172557415</v>
      </c>
      <c r="G66" s="57">
        <f t="shared" si="2"/>
        <v>227.12219654038753</v>
      </c>
    </row>
    <row r="67" spans="1:7" x14ac:dyDescent="0.25">
      <c r="A67">
        <v>49</v>
      </c>
      <c r="B67" s="23">
        <f t="shared" si="3"/>
        <v>-2.7284841053187847E-12</v>
      </c>
      <c r="G67" s="57">
        <f>(B67/(1+$B$14)^A67)</f>
        <v>-1.4844475788481385E-12</v>
      </c>
    </row>
  </sheetData>
  <mergeCells count="4">
    <mergeCell ref="A1:C1"/>
    <mergeCell ref="A2:C2"/>
    <mergeCell ref="A13:C13"/>
    <mergeCell ref="A16:E16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827A4-D36D-4E81-BA6B-6401BE86EAD7}">
  <dimension ref="A1:O50"/>
  <sheetViews>
    <sheetView tabSelected="1" topLeftCell="A10" workbookViewId="0">
      <selection activeCell="J10" sqref="J10"/>
    </sheetView>
  </sheetViews>
  <sheetFormatPr defaultRowHeight="15" x14ac:dyDescent="0.25"/>
  <cols>
    <col min="1" max="1" width="11.7109375" customWidth="1"/>
    <col min="2" max="2" width="10.85546875" customWidth="1"/>
    <col min="3" max="3" width="14.7109375" customWidth="1"/>
    <col min="4" max="4" width="35.28515625" customWidth="1"/>
    <col min="5" max="5" width="11.7109375" customWidth="1"/>
    <col min="8" max="8" width="8.28515625" customWidth="1"/>
    <col min="9" max="11" width="14.7109375" customWidth="1"/>
    <col min="13" max="13" width="15.42578125" customWidth="1"/>
    <col min="14" max="14" width="10.85546875" customWidth="1"/>
    <col min="15" max="15" width="10.7109375" customWidth="1"/>
  </cols>
  <sheetData>
    <row r="1" spans="1:11" x14ac:dyDescent="0.25">
      <c r="A1" s="84" t="s">
        <v>0</v>
      </c>
      <c r="B1" s="84"/>
      <c r="C1" s="84"/>
      <c r="D1" s="84"/>
    </row>
    <row r="2" spans="1:11" x14ac:dyDescent="0.25">
      <c r="A2" s="85" t="s">
        <v>107</v>
      </c>
      <c r="B2" s="85"/>
      <c r="C2" s="85"/>
      <c r="D2" s="85"/>
    </row>
    <row r="3" spans="1:11" x14ac:dyDescent="0.25">
      <c r="A3" t="s">
        <v>89</v>
      </c>
    </row>
    <row r="4" spans="1:11" x14ac:dyDescent="0.25">
      <c r="A4" t="s">
        <v>90</v>
      </c>
    </row>
    <row r="6" spans="1:11" x14ac:dyDescent="0.25">
      <c r="A6" t="s">
        <v>31</v>
      </c>
      <c r="B6" t="s">
        <v>99</v>
      </c>
    </row>
    <row r="7" spans="1:11" x14ac:dyDescent="0.25">
      <c r="A7" s="7" t="s">
        <v>13</v>
      </c>
      <c r="B7" s="51" t="s">
        <v>91</v>
      </c>
    </row>
    <row r="8" spans="1:11" x14ac:dyDescent="0.25">
      <c r="A8" s="101"/>
      <c r="B8" s="15"/>
    </row>
    <row r="9" spans="1:11" x14ac:dyDescent="0.25">
      <c r="A9" s="101" t="s">
        <v>92</v>
      </c>
      <c r="B9" s="15"/>
    </row>
    <row r="10" spans="1:11" x14ac:dyDescent="0.25">
      <c r="A10" s="101"/>
      <c r="B10" s="15"/>
    </row>
    <row r="11" spans="1:11" x14ac:dyDescent="0.25">
      <c r="A11" s="101" t="s">
        <v>93</v>
      </c>
      <c r="B11" s="15"/>
    </row>
    <row r="12" spans="1:11" x14ac:dyDescent="0.25">
      <c r="A12" s="101" t="s">
        <v>94</v>
      </c>
      <c r="B12" s="15"/>
    </row>
    <row r="13" spans="1:11" x14ac:dyDescent="0.25">
      <c r="A13" s="101" t="s">
        <v>95</v>
      </c>
      <c r="B13" s="15"/>
    </row>
    <row r="14" spans="1:11" ht="15.75" thickBot="1" x14ac:dyDescent="0.3">
      <c r="A14" s="8"/>
      <c r="B14" s="16"/>
    </row>
    <row r="15" spans="1:11" ht="15.75" thickTop="1" x14ac:dyDescent="0.25">
      <c r="A15" s="85" t="s">
        <v>8</v>
      </c>
      <c r="B15" s="85"/>
      <c r="C15" s="85"/>
      <c r="D15" s="85"/>
    </row>
    <row r="16" spans="1:11" x14ac:dyDescent="0.25">
      <c r="A16" s="21" t="s">
        <v>13</v>
      </c>
      <c r="B16" s="21"/>
      <c r="C16" s="21"/>
      <c r="D16" s="21" t="s">
        <v>31</v>
      </c>
      <c r="H16" s="95"/>
      <c r="I16" s="95"/>
      <c r="J16" s="95"/>
      <c r="K16" s="95"/>
    </row>
    <row r="17" spans="1:15" ht="46.5" customHeight="1" x14ac:dyDescent="0.25">
      <c r="A17" s="1" t="s">
        <v>10</v>
      </c>
      <c r="B17" s="5">
        <f>B50</f>
        <v>0.20929819385303428</v>
      </c>
      <c r="C17" s="5"/>
      <c r="D17" s="1" t="s">
        <v>96</v>
      </c>
      <c r="E17" s="1" t="s">
        <v>97</v>
      </c>
      <c r="H17" s="1" t="s">
        <v>96</v>
      </c>
      <c r="I17" s="1" t="s">
        <v>100</v>
      </c>
      <c r="J17" s="63" t="s">
        <v>101</v>
      </c>
      <c r="K17" s="1" t="s">
        <v>98</v>
      </c>
      <c r="N17" s="1" t="s">
        <v>103</v>
      </c>
      <c r="O17" s="1" t="s">
        <v>104</v>
      </c>
    </row>
    <row r="18" spans="1:15" x14ac:dyDescent="0.25">
      <c r="A18" s="59" t="s">
        <v>96</v>
      </c>
      <c r="B18" s="59" t="s">
        <v>97</v>
      </c>
      <c r="C18" s="1"/>
      <c r="D18">
        <v>0</v>
      </c>
      <c r="E18">
        <v>-30000</v>
      </c>
      <c r="H18" s="7">
        <v>0</v>
      </c>
      <c r="I18" s="64">
        <v>30000</v>
      </c>
      <c r="J18" s="64">
        <v>5000</v>
      </c>
      <c r="K18" s="64">
        <f>I18-J18</f>
        <v>25000</v>
      </c>
      <c r="M18" s="32" t="s">
        <v>37</v>
      </c>
      <c r="N18" s="60">
        <v>29629.629629629631</v>
      </c>
      <c r="O18" s="60">
        <v>30748.989177603609</v>
      </c>
    </row>
    <row r="19" spans="1:15" x14ac:dyDescent="0.25">
      <c r="A19" s="7">
        <v>0</v>
      </c>
      <c r="B19" s="7">
        <v>-5000</v>
      </c>
      <c r="H19">
        <v>1</v>
      </c>
      <c r="J19">
        <v>1050</v>
      </c>
      <c r="K19" s="65">
        <f t="shared" ref="K19:K48" si="0">I19-J19</f>
        <v>-1050</v>
      </c>
      <c r="M19" s="32" t="s">
        <v>102</v>
      </c>
      <c r="N19" s="62">
        <v>1.5609766355359822E-2</v>
      </c>
      <c r="O19" s="33"/>
    </row>
    <row r="20" spans="1:15" x14ac:dyDescent="0.25">
      <c r="A20">
        <v>1</v>
      </c>
      <c r="B20">
        <v>1050</v>
      </c>
      <c r="H20">
        <v>2</v>
      </c>
      <c r="J20">
        <v>1050</v>
      </c>
      <c r="K20" s="65">
        <f t="shared" si="0"/>
        <v>-1050</v>
      </c>
      <c r="M20" s="33" t="s">
        <v>88</v>
      </c>
      <c r="N20" s="33"/>
      <c r="O20" s="33"/>
    </row>
    <row r="21" spans="1:15" x14ac:dyDescent="0.25">
      <c r="A21">
        <v>2</v>
      </c>
      <c r="B21">
        <v>1050</v>
      </c>
      <c r="E21" s="2"/>
      <c r="H21">
        <v>3</v>
      </c>
      <c r="J21">
        <v>1050</v>
      </c>
      <c r="K21" s="65">
        <f t="shared" si="0"/>
        <v>-1050</v>
      </c>
      <c r="M21" s="32" t="s">
        <v>105</v>
      </c>
      <c r="N21" s="61">
        <f>(1+N19)^12-1</f>
        <v>0.20426599156229042</v>
      </c>
      <c r="O21" s="33"/>
    </row>
    <row r="22" spans="1:15" x14ac:dyDescent="0.25">
      <c r="A22">
        <v>3</v>
      </c>
      <c r="B22">
        <v>1050</v>
      </c>
      <c r="H22">
        <v>4</v>
      </c>
      <c r="J22">
        <v>1050</v>
      </c>
      <c r="K22" s="65">
        <f t="shared" si="0"/>
        <v>-1050</v>
      </c>
      <c r="M22" s="32" t="s">
        <v>106</v>
      </c>
      <c r="N22" s="1"/>
    </row>
    <row r="23" spans="1:15" x14ac:dyDescent="0.25">
      <c r="A23">
        <v>4</v>
      </c>
      <c r="B23">
        <v>1050</v>
      </c>
      <c r="H23">
        <v>5</v>
      </c>
      <c r="J23">
        <v>1050</v>
      </c>
      <c r="K23" s="65">
        <f t="shared" si="0"/>
        <v>-1050</v>
      </c>
    </row>
    <row r="24" spans="1:15" x14ac:dyDescent="0.25">
      <c r="A24">
        <v>5</v>
      </c>
      <c r="B24">
        <v>1050</v>
      </c>
      <c r="H24">
        <v>6</v>
      </c>
      <c r="J24">
        <v>1050</v>
      </c>
      <c r="K24" s="65">
        <f t="shared" si="0"/>
        <v>-1050</v>
      </c>
    </row>
    <row r="25" spans="1:15" x14ac:dyDescent="0.25">
      <c r="A25">
        <v>6</v>
      </c>
      <c r="B25">
        <v>1050</v>
      </c>
      <c r="H25">
        <v>7</v>
      </c>
      <c r="J25">
        <v>1050</v>
      </c>
      <c r="K25" s="65">
        <f t="shared" si="0"/>
        <v>-1050</v>
      </c>
    </row>
    <row r="26" spans="1:15" x14ac:dyDescent="0.25">
      <c r="A26">
        <v>7</v>
      </c>
      <c r="B26">
        <v>1050</v>
      </c>
      <c r="H26">
        <v>8</v>
      </c>
      <c r="J26">
        <v>1050</v>
      </c>
      <c r="K26" s="65">
        <f t="shared" si="0"/>
        <v>-1050</v>
      </c>
    </row>
    <row r="27" spans="1:15" x14ac:dyDescent="0.25">
      <c r="A27">
        <v>8</v>
      </c>
      <c r="B27">
        <v>1050</v>
      </c>
      <c r="H27">
        <v>9</v>
      </c>
      <c r="J27">
        <v>1050</v>
      </c>
      <c r="K27" s="65">
        <f t="shared" si="0"/>
        <v>-1050</v>
      </c>
    </row>
    <row r="28" spans="1:15" x14ac:dyDescent="0.25">
      <c r="A28">
        <v>9</v>
      </c>
      <c r="B28">
        <v>1050</v>
      </c>
      <c r="H28">
        <v>10</v>
      </c>
      <c r="J28">
        <v>1050</v>
      </c>
      <c r="K28" s="65">
        <f t="shared" si="0"/>
        <v>-1050</v>
      </c>
    </row>
    <row r="29" spans="1:15" x14ac:dyDescent="0.25">
      <c r="A29">
        <v>10</v>
      </c>
      <c r="B29">
        <v>1050</v>
      </c>
      <c r="H29">
        <v>11</v>
      </c>
      <c r="J29">
        <v>1050</v>
      </c>
      <c r="K29" s="65">
        <f t="shared" si="0"/>
        <v>-1050</v>
      </c>
    </row>
    <row r="30" spans="1:15" x14ac:dyDescent="0.25">
      <c r="A30">
        <v>11</v>
      </c>
      <c r="B30">
        <v>1050</v>
      </c>
      <c r="H30">
        <v>12</v>
      </c>
      <c r="J30">
        <v>1050</v>
      </c>
      <c r="K30" s="65">
        <f t="shared" si="0"/>
        <v>-1050</v>
      </c>
    </row>
    <row r="31" spans="1:15" x14ac:dyDescent="0.25">
      <c r="A31">
        <v>12</v>
      </c>
      <c r="B31">
        <v>1050</v>
      </c>
      <c r="H31">
        <v>13</v>
      </c>
      <c r="J31">
        <v>1050</v>
      </c>
      <c r="K31" s="65">
        <f t="shared" si="0"/>
        <v>-1050</v>
      </c>
    </row>
    <row r="32" spans="1:15" x14ac:dyDescent="0.25">
      <c r="A32">
        <v>13</v>
      </c>
      <c r="B32">
        <v>1050</v>
      </c>
      <c r="H32">
        <v>14</v>
      </c>
      <c r="J32">
        <v>1050</v>
      </c>
      <c r="K32" s="65">
        <f t="shared" si="0"/>
        <v>-1050</v>
      </c>
    </row>
    <row r="33" spans="1:11" x14ac:dyDescent="0.25">
      <c r="A33">
        <v>14</v>
      </c>
      <c r="B33">
        <v>1050</v>
      </c>
      <c r="H33">
        <v>15</v>
      </c>
      <c r="J33">
        <v>1050</v>
      </c>
      <c r="K33" s="65">
        <f t="shared" si="0"/>
        <v>-1050</v>
      </c>
    </row>
    <row r="34" spans="1:11" x14ac:dyDescent="0.25">
      <c r="A34">
        <v>15</v>
      </c>
      <c r="B34">
        <v>1050</v>
      </c>
      <c r="H34">
        <v>16</v>
      </c>
      <c r="J34">
        <v>1050</v>
      </c>
      <c r="K34" s="65">
        <f t="shared" si="0"/>
        <v>-1050</v>
      </c>
    </row>
    <row r="35" spans="1:11" x14ac:dyDescent="0.25">
      <c r="A35">
        <v>16</v>
      </c>
      <c r="B35">
        <v>1050</v>
      </c>
      <c r="H35">
        <v>17</v>
      </c>
      <c r="J35">
        <v>1050</v>
      </c>
      <c r="K35" s="65">
        <f t="shared" si="0"/>
        <v>-1050</v>
      </c>
    </row>
    <row r="36" spans="1:11" x14ac:dyDescent="0.25">
      <c r="A36">
        <v>17</v>
      </c>
      <c r="B36">
        <v>1050</v>
      </c>
      <c r="H36">
        <v>18</v>
      </c>
      <c r="J36">
        <v>1050</v>
      </c>
      <c r="K36" s="65">
        <f t="shared" si="0"/>
        <v>-1050</v>
      </c>
    </row>
    <row r="37" spans="1:11" x14ac:dyDescent="0.25">
      <c r="A37">
        <v>18</v>
      </c>
      <c r="B37">
        <v>1050</v>
      </c>
      <c r="H37">
        <v>19</v>
      </c>
      <c r="J37">
        <v>1050</v>
      </c>
      <c r="K37" s="65">
        <f t="shared" si="0"/>
        <v>-1050</v>
      </c>
    </row>
    <row r="38" spans="1:11" x14ac:dyDescent="0.25">
      <c r="A38">
        <v>19</v>
      </c>
      <c r="B38">
        <v>1050</v>
      </c>
      <c r="H38">
        <v>20</v>
      </c>
      <c r="J38">
        <v>1050</v>
      </c>
      <c r="K38" s="65">
        <f t="shared" si="0"/>
        <v>-1050</v>
      </c>
    </row>
    <row r="39" spans="1:11" x14ac:dyDescent="0.25">
      <c r="A39">
        <v>20</v>
      </c>
      <c r="B39">
        <v>1050</v>
      </c>
      <c r="H39">
        <v>21</v>
      </c>
      <c r="J39">
        <v>1050</v>
      </c>
      <c r="K39" s="65">
        <f t="shared" si="0"/>
        <v>-1050</v>
      </c>
    </row>
    <row r="40" spans="1:11" x14ac:dyDescent="0.25">
      <c r="A40">
        <v>21</v>
      </c>
      <c r="B40">
        <v>1050</v>
      </c>
      <c r="H40">
        <v>22</v>
      </c>
      <c r="J40">
        <v>1050</v>
      </c>
      <c r="K40" s="65">
        <f t="shared" si="0"/>
        <v>-1050</v>
      </c>
    </row>
    <row r="41" spans="1:11" x14ac:dyDescent="0.25">
      <c r="A41">
        <v>22</v>
      </c>
      <c r="B41">
        <v>1050</v>
      </c>
      <c r="H41">
        <v>23</v>
      </c>
      <c r="J41">
        <v>1050</v>
      </c>
      <c r="K41" s="65">
        <f t="shared" si="0"/>
        <v>-1050</v>
      </c>
    </row>
    <row r="42" spans="1:11" x14ac:dyDescent="0.25">
      <c r="A42">
        <v>23</v>
      </c>
      <c r="B42">
        <v>1050</v>
      </c>
      <c r="H42">
        <v>24</v>
      </c>
      <c r="J42">
        <v>1050</v>
      </c>
      <c r="K42" s="65">
        <f t="shared" si="0"/>
        <v>-1050</v>
      </c>
    </row>
    <row r="43" spans="1:11" x14ac:dyDescent="0.25">
      <c r="A43">
        <v>24</v>
      </c>
      <c r="B43">
        <v>1050</v>
      </c>
      <c r="H43">
        <v>25</v>
      </c>
      <c r="J43">
        <v>1050</v>
      </c>
      <c r="K43" s="65">
        <f t="shared" si="0"/>
        <v>-1050</v>
      </c>
    </row>
    <row r="44" spans="1:11" x14ac:dyDescent="0.25">
      <c r="A44">
        <v>25</v>
      </c>
      <c r="B44">
        <v>1050</v>
      </c>
      <c r="H44">
        <v>26</v>
      </c>
      <c r="J44">
        <v>1050</v>
      </c>
      <c r="K44" s="65">
        <f t="shared" si="0"/>
        <v>-1050</v>
      </c>
    </row>
    <row r="45" spans="1:11" x14ac:dyDescent="0.25">
      <c r="A45">
        <v>26</v>
      </c>
      <c r="B45">
        <v>1050</v>
      </c>
      <c r="H45">
        <v>27</v>
      </c>
      <c r="J45">
        <v>1050</v>
      </c>
      <c r="K45" s="65">
        <f t="shared" si="0"/>
        <v>-1050</v>
      </c>
    </row>
    <row r="46" spans="1:11" x14ac:dyDescent="0.25">
      <c r="A46">
        <v>27</v>
      </c>
      <c r="B46">
        <v>1050</v>
      </c>
      <c r="H46">
        <v>28</v>
      </c>
      <c r="J46">
        <v>1050</v>
      </c>
      <c r="K46" s="65">
        <f t="shared" si="0"/>
        <v>-1050</v>
      </c>
    </row>
    <row r="47" spans="1:11" x14ac:dyDescent="0.25">
      <c r="A47">
        <v>28</v>
      </c>
      <c r="B47">
        <v>1050</v>
      </c>
      <c r="H47">
        <v>29</v>
      </c>
      <c r="J47">
        <v>1050</v>
      </c>
      <c r="K47" s="65">
        <f t="shared" si="0"/>
        <v>-1050</v>
      </c>
    </row>
    <row r="48" spans="1:11" ht="15.75" thickBot="1" x14ac:dyDescent="0.3">
      <c r="A48">
        <v>29</v>
      </c>
      <c r="B48">
        <v>1050</v>
      </c>
      <c r="H48" s="8">
        <v>30</v>
      </c>
      <c r="I48" s="8"/>
      <c r="J48" s="8">
        <v>1050</v>
      </c>
      <c r="K48" s="66">
        <f t="shared" si="0"/>
        <v>-1050</v>
      </c>
    </row>
    <row r="49" spans="1:11" ht="16.5" thickTop="1" thickBot="1" x14ac:dyDescent="0.3">
      <c r="A49" s="8">
        <v>30</v>
      </c>
      <c r="B49" s="8">
        <v>1050</v>
      </c>
      <c r="H49" s="1" t="s">
        <v>37</v>
      </c>
      <c r="I49" s="56">
        <f>NPV(1.25%,I18:I48)</f>
        <v>29629.629629629631</v>
      </c>
      <c r="J49" s="56">
        <f>NPV(1.25%,J18:J48)</f>
        <v>30748.989177603609</v>
      </c>
      <c r="K49" s="5">
        <f>IRR(K18:K48)</f>
        <v>1.5609766355359822E-2</v>
      </c>
    </row>
    <row r="50" spans="1:11" ht="15.75" thickTop="1" x14ac:dyDescent="0.25">
      <c r="A50" s="1" t="s">
        <v>10</v>
      </c>
      <c r="B50" s="5">
        <f xml:space="preserve"> IRR(B19:B49)</f>
        <v>0.20929819385303428</v>
      </c>
      <c r="C50" s="5"/>
      <c r="H50" t="s">
        <v>22</v>
      </c>
    </row>
  </sheetData>
  <mergeCells count="4">
    <mergeCell ref="A1:D1"/>
    <mergeCell ref="A2:D2"/>
    <mergeCell ref="A15:D15"/>
    <mergeCell ref="H16:K16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3E6D0A-CCF9-4A38-B582-BEB2139B54B9}">
  <dimension ref="A1:D30"/>
  <sheetViews>
    <sheetView tabSelected="1" workbookViewId="0">
      <selection activeCell="J10" sqref="J10"/>
    </sheetView>
  </sheetViews>
  <sheetFormatPr defaultRowHeight="15" x14ac:dyDescent="0.25"/>
  <cols>
    <col min="1" max="1" width="16.42578125" customWidth="1"/>
    <col min="2" max="2" width="10.85546875" customWidth="1"/>
    <col min="3" max="3" width="18" customWidth="1"/>
    <col min="4" max="4" width="17.85546875" customWidth="1"/>
  </cols>
  <sheetData>
    <row r="1" spans="1:4" x14ac:dyDescent="0.25">
      <c r="A1" s="84" t="s">
        <v>0</v>
      </c>
      <c r="B1" s="84"/>
      <c r="C1" s="84"/>
      <c r="D1" s="84"/>
    </row>
    <row r="2" spans="1:4" x14ac:dyDescent="0.25">
      <c r="A2" s="85" t="s">
        <v>119</v>
      </c>
      <c r="B2" s="85"/>
      <c r="C2" s="85"/>
      <c r="D2" s="85"/>
    </row>
    <row r="3" spans="1:4" x14ac:dyDescent="0.25">
      <c r="A3" t="s">
        <v>108</v>
      </c>
    </row>
    <row r="4" spans="1:4" x14ac:dyDescent="0.25">
      <c r="A4" t="s">
        <v>109</v>
      </c>
    </row>
    <row r="5" spans="1:4" x14ac:dyDescent="0.25">
      <c r="A5" t="s">
        <v>110</v>
      </c>
    </row>
    <row r="6" spans="1:4" x14ac:dyDescent="0.25">
      <c r="A6" t="s">
        <v>111</v>
      </c>
    </row>
    <row r="7" spans="1:4" x14ac:dyDescent="0.25">
      <c r="A7" s="7"/>
      <c r="B7" s="51"/>
    </row>
    <row r="8" spans="1:4" x14ac:dyDescent="0.25">
      <c r="A8" s="107" t="s">
        <v>112</v>
      </c>
      <c r="B8" s="15">
        <v>15000</v>
      </c>
    </row>
    <row r="9" spans="1:4" x14ac:dyDescent="0.25">
      <c r="A9" s="107" t="s">
        <v>113</v>
      </c>
      <c r="B9" s="119">
        <v>0.1</v>
      </c>
    </row>
    <row r="10" spans="1:4" x14ac:dyDescent="0.25">
      <c r="A10" s="107" t="s">
        <v>114</v>
      </c>
      <c r="B10" s="15">
        <v>5</v>
      </c>
    </row>
    <row r="11" spans="1:4" x14ac:dyDescent="0.25">
      <c r="A11" s="107" t="s">
        <v>115</v>
      </c>
      <c r="B11" s="123">
        <f>FV(B9,B10,-B8,0,)</f>
        <v>91576.500000000087</v>
      </c>
    </row>
    <row r="12" spans="1:4" x14ac:dyDescent="0.25">
      <c r="A12" s="107"/>
      <c r="B12" s="123"/>
    </row>
    <row r="13" spans="1:4" x14ac:dyDescent="0.25">
      <c r="A13" s="110" t="s">
        <v>121</v>
      </c>
      <c r="B13" s="125"/>
      <c r="C13" s="96"/>
      <c r="D13" s="96"/>
    </row>
    <row r="14" spans="1:4" ht="15.75" thickBot="1" x14ac:dyDescent="0.3">
      <c r="A14" s="105" t="s">
        <v>6</v>
      </c>
      <c r="B14" s="126" t="s">
        <v>116</v>
      </c>
      <c r="C14" s="1" t="s">
        <v>117</v>
      </c>
      <c r="D14" s="1" t="s">
        <v>118</v>
      </c>
    </row>
    <row r="15" spans="1:4" ht="15.75" thickTop="1" x14ac:dyDescent="0.25">
      <c r="A15">
        <v>1</v>
      </c>
      <c r="B15" s="23">
        <v>0</v>
      </c>
      <c r="C15" s="23">
        <v>15000</v>
      </c>
      <c r="D15" s="23">
        <v>0</v>
      </c>
    </row>
    <row r="16" spans="1:4" x14ac:dyDescent="0.25">
      <c r="A16">
        <v>2</v>
      </c>
      <c r="B16" s="23">
        <v>15000</v>
      </c>
      <c r="C16" s="23">
        <v>15000</v>
      </c>
      <c r="D16" s="23">
        <f>$B$9*B16</f>
        <v>1500</v>
      </c>
    </row>
    <row r="17" spans="1:4" x14ac:dyDescent="0.25">
      <c r="A17">
        <v>3</v>
      </c>
      <c r="B17" s="23">
        <f>B16+C16+D16</f>
        <v>31500</v>
      </c>
      <c r="C17" s="23">
        <v>15000</v>
      </c>
      <c r="D17" s="23">
        <f t="shared" ref="D17:D19" si="0">$B$9*B17</f>
        <v>3150</v>
      </c>
    </row>
    <row r="18" spans="1:4" x14ac:dyDescent="0.25">
      <c r="A18">
        <v>4</v>
      </c>
      <c r="B18" s="23">
        <f t="shared" ref="B18:B20" si="1">B17+C17+D17</f>
        <v>49650</v>
      </c>
      <c r="C18" s="23">
        <v>15000</v>
      </c>
      <c r="D18" s="23">
        <f t="shared" si="0"/>
        <v>4965</v>
      </c>
    </row>
    <row r="19" spans="1:4" x14ac:dyDescent="0.25">
      <c r="A19">
        <v>5</v>
      </c>
      <c r="B19" s="23">
        <f t="shared" si="1"/>
        <v>69615</v>
      </c>
      <c r="C19" s="23">
        <v>15000</v>
      </c>
      <c r="D19" s="23">
        <f t="shared" si="0"/>
        <v>6961.5</v>
      </c>
    </row>
    <row r="20" spans="1:4" x14ac:dyDescent="0.25">
      <c r="A20">
        <v>6</v>
      </c>
      <c r="B20" s="23">
        <f t="shared" si="1"/>
        <v>91576.5</v>
      </c>
      <c r="C20" s="23"/>
      <c r="D20" s="23"/>
    </row>
    <row r="22" spans="1:4" x14ac:dyDescent="0.25">
      <c r="A22" s="85" t="s">
        <v>120</v>
      </c>
      <c r="B22" s="85"/>
      <c r="C22" s="85"/>
      <c r="D22" s="85"/>
    </row>
    <row r="24" spans="1:4" x14ac:dyDescent="0.25">
      <c r="A24" s="1" t="s">
        <v>6</v>
      </c>
      <c r="B24" s="1" t="s">
        <v>116</v>
      </c>
      <c r="C24" s="1" t="s">
        <v>117</v>
      </c>
      <c r="D24" s="1" t="s">
        <v>118</v>
      </c>
    </row>
    <row r="25" spans="1:4" x14ac:dyDescent="0.25">
      <c r="A25">
        <v>1</v>
      </c>
      <c r="B25" s="23">
        <f>B8*$B$10</f>
        <v>75000</v>
      </c>
      <c r="C25" s="23">
        <v>15000</v>
      </c>
      <c r="D25" s="23">
        <f>$B$9*B25</f>
        <v>7500</v>
      </c>
    </row>
    <row r="26" spans="1:4" x14ac:dyDescent="0.25">
      <c r="A26">
        <v>2</v>
      </c>
      <c r="B26" s="23">
        <f>B25+C25+D25</f>
        <v>97500</v>
      </c>
      <c r="C26" s="23">
        <v>15000</v>
      </c>
      <c r="D26" s="23">
        <f>$B$9*B26</f>
        <v>9750</v>
      </c>
    </row>
    <row r="27" spans="1:4" x14ac:dyDescent="0.25">
      <c r="A27">
        <v>3</v>
      </c>
      <c r="B27" s="23">
        <f>B26+C26+D26</f>
        <v>122250</v>
      </c>
      <c r="C27" s="23">
        <v>15000</v>
      </c>
      <c r="D27" s="23">
        <f t="shared" ref="D27:D29" si="2">$B$9*B27</f>
        <v>12225</v>
      </c>
    </row>
    <row r="28" spans="1:4" x14ac:dyDescent="0.25">
      <c r="A28">
        <v>4</v>
      </c>
      <c r="B28" s="23">
        <f t="shared" ref="B28:B30" si="3">B27+C27+D27</f>
        <v>149475</v>
      </c>
      <c r="C28" s="23">
        <v>15000</v>
      </c>
      <c r="D28" s="23">
        <f t="shared" si="2"/>
        <v>14947.5</v>
      </c>
    </row>
    <row r="29" spans="1:4" x14ac:dyDescent="0.25">
      <c r="A29">
        <v>5</v>
      </c>
      <c r="B29" s="23">
        <f t="shared" si="3"/>
        <v>179422.5</v>
      </c>
      <c r="C29" s="23">
        <v>15000</v>
      </c>
      <c r="D29" s="23">
        <f t="shared" si="2"/>
        <v>17942.25</v>
      </c>
    </row>
    <row r="30" spans="1:4" x14ac:dyDescent="0.25">
      <c r="A30">
        <v>6</v>
      </c>
      <c r="B30" s="67">
        <f t="shared" si="3"/>
        <v>212364.75</v>
      </c>
      <c r="C30" s="23"/>
      <c r="D30" s="23"/>
    </row>
  </sheetData>
  <mergeCells count="4">
    <mergeCell ref="A1:D1"/>
    <mergeCell ref="A2:D2"/>
    <mergeCell ref="A22:D22"/>
    <mergeCell ref="A13:D13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94C00C-BCCD-4373-957A-5EB2B25565E0}">
  <dimension ref="A1:D20"/>
  <sheetViews>
    <sheetView tabSelected="1" workbookViewId="0">
      <selection activeCell="J10" sqref="J10"/>
    </sheetView>
  </sheetViews>
  <sheetFormatPr defaultRowHeight="15" x14ac:dyDescent="0.25"/>
  <cols>
    <col min="1" max="1" width="23" customWidth="1"/>
    <col min="2" max="2" width="10.85546875" customWidth="1"/>
  </cols>
  <sheetData>
    <row r="1" spans="1:4" x14ac:dyDescent="0.25">
      <c r="A1" s="84" t="s">
        <v>0</v>
      </c>
      <c r="B1" s="84"/>
      <c r="C1" s="84"/>
      <c r="D1" s="84"/>
    </row>
    <row r="2" spans="1:4" x14ac:dyDescent="0.25">
      <c r="A2" s="85" t="s">
        <v>122</v>
      </c>
      <c r="B2" s="85"/>
      <c r="C2" s="85"/>
      <c r="D2" s="85"/>
    </row>
    <row r="3" spans="1:4" x14ac:dyDescent="0.25">
      <c r="A3" t="s">
        <v>133</v>
      </c>
    </row>
    <row r="4" spans="1:4" x14ac:dyDescent="0.25">
      <c r="A4" t="s">
        <v>127</v>
      </c>
    </row>
    <row r="5" spans="1:4" x14ac:dyDescent="0.25">
      <c r="A5" t="s">
        <v>128</v>
      </c>
    </row>
    <row r="7" spans="1:4" x14ac:dyDescent="0.25">
      <c r="A7" s="6" t="s">
        <v>123</v>
      </c>
      <c r="B7" s="51">
        <v>250</v>
      </c>
    </row>
    <row r="8" spans="1:4" x14ac:dyDescent="0.25">
      <c r="A8" s="107" t="s">
        <v>124</v>
      </c>
      <c r="B8" s="15">
        <v>120</v>
      </c>
    </row>
    <row r="9" spans="1:4" x14ac:dyDescent="0.25">
      <c r="A9" s="107"/>
      <c r="B9" s="15"/>
    </row>
    <row r="10" spans="1:4" x14ac:dyDescent="0.25">
      <c r="A10" s="107" t="s">
        <v>125</v>
      </c>
      <c r="B10" s="15"/>
    </row>
    <row r="11" spans="1:4" x14ac:dyDescent="0.25">
      <c r="A11" s="107" t="s">
        <v>126</v>
      </c>
      <c r="B11" s="123">
        <f>FV(B10,B8,-B7,,1)</f>
        <v>30000</v>
      </c>
    </row>
    <row r="12" spans="1:4" x14ac:dyDescent="0.25">
      <c r="A12" s="101"/>
      <c r="B12" s="15"/>
    </row>
    <row r="13" spans="1:4" x14ac:dyDescent="0.25">
      <c r="A13" s="109" t="s">
        <v>129</v>
      </c>
      <c r="B13" s="124"/>
      <c r="C13" s="97"/>
    </row>
    <row r="14" spans="1:4" ht="15.75" thickBot="1" x14ac:dyDescent="0.3">
      <c r="A14" s="105" t="s">
        <v>134</v>
      </c>
      <c r="B14" s="16"/>
    </row>
    <row r="15" spans="1:4" ht="15.75" thickTop="1" x14ac:dyDescent="0.25">
      <c r="A15" s="1"/>
    </row>
    <row r="16" spans="1:4" x14ac:dyDescent="0.25">
      <c r="A16" s="1" t="s">
        <v>123</v>
      </c>
      <c r="B16">
        <v>250</v>
      </c>
    </row>
    <row r="17" spans="1:4" x14ac:dyDescent="0.25">
      <c r="A17" s="1" t="s">
        <v>124</v>
      </c>
      <c r="B17">
        <v>120</v>
      </c>
    </row>
    <row r="18" spans="1:4" x14ac:dyDescent="0.25">
      <c r="A18" s="1"/>
      <c r="C18" t="s">
        <v>130</v>
      </c>
    </row>
    <row r="19" spans="1:4" x14ac:dyDescent="0.25">
      <c r="A19" s="1" t="s">
        <v>125</v>
      </c>
      <c r="B19" s="68">
        <v>1.5144867168507783E-2</v>
      </c>
      <c r="C19" s="33">
        <f>B19*12</f>
        <v>0.1817384060220934</v>
      </c>
      <c r="D19" s="33">
        <f>(1+B19)^12-1</f>
        <v>0.19766753322831354</v>
      </c>
    </row>
    <row r="20" spans="1:4" x14ac:dyDescent="0.25">
      <c r="A20" s="1" t="s">
        <v>126</v>
      </c>
      <c r="B20" s="22">
        <f>FV(B19,B17,-B16,,1)</f>
        <v>84999.999826351006</v>
      </c>
      <c r="C20" t="s">
        <v>131</v>
      </c>
      <c r="D20" t="s">
        <v>132</v>
      </c>
    </row>
  </sheetData>
  <mergeCells count="3">
    <mergeCell ref="A1:D1"/>
    <mergeCell ref="A2:D2"/>
    <mergeCell ref="A13:C13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E69C00-3F12-4AF9-AE2F-032AC9E3BA2C}">
  <dimension ref="A1:G73"/>
  <sheetViews>
    <sheetView tabSelected="1" workbookViewId="0">
      <selection activeCell="J10" sqref="J10"/>
    </sheetView>
  </sheetViews>
  <sheetFormatPr defaultRowHeight="15" x14ac:dyDescent="0.25"/>
  <cols>
    <col min="1" max="1" width="18.85546875" customWidth="1"/>
    <col min="2" max="2" width="10.85546875" customWidth="1"/>
    <col min="3" max="3" width="14.42578125" customWidth="1"/>
    <col min="4" max="4" width="21.140625" bestFit="1" customWidth="1"/>
    <col min="5" max="5" width="25.5703125" customWidth="1"/>
  </cols>
  <sheetData>
    <row r="1" spans="1:4" x14ac:dyDescent="0.25">
      <c r="A1" s="84" t="s">
        <v>0</v>
      </c>
      <c r="B1" s="84"/>
      <c r="C1" s="84"/>
      <c r="D1" s="84"/>
    </row>
    <row r="2" spans="1:4" x14ac:dyDescent="0.25">
      <c r="A2" s="85" t="s">
        <v>135</v>
      </c>
      <c r="B2" s="85"/>
      <c r="C2" s="85"/>
      <c r="D2" s="85"/>
    </row>
    <row r="3" spans="1:4" x14ac:dyDescent="0.25">
      <c r="A3" t="s">
        <v>144</v>
      </c>
    </row>
    <row r="4" spans="1:4" x14ac:dyDescent="0.25">
      <c r="A4" t="s">
        <v>140</v>
      </c>
    </row>
    <row r="5" spans="1:4" x14ac:dyDescent="0.25">
      <c r="A5" t="s">
        <v>141</v>
      </c>
    </row>
    <row r="6" spans="1:4" x14ac:dyDescent="0.25">
      <c r="A6" t="s">
        <v>136</v>
      </c>
    </row>
    <row r="7" spans="1:4" x14ac:dyDescent="0.25">
      <c r="A7" s="7"/>
      <c r="B7" s="51"/>
    </row>
    <row r="8" spans="1:4" x14ac:dyDescent="0.25">
      <c r="A8" s="101"/>
      <c r="B8" s="121" t="s">
        <v>137</v>
      </c>
    </row>
    <row r="9" spans="1:4" x14ac:dyDescent="0.25">
      <c r="A9" s="101"/>
      <c r="B9" s="121" t="s">
        <v>138</v>
      </c>
    </row>
    <row r="10" spans="1:4" x14ac:dyDescent="0.25">
      <c r="A10" s="101"/>
      <c r="B10" s="121" t="s">
        <v>139</v>
      </c>
    </row>
    <row r="11" spans="1:4" x14ac:dyDescent="0.25">
      <c r="A11" s="101"/>
      <c r="B11" s="15"/>
    </row>
    <row r="12" spans="1:4" x14ac:dyDescent="0.25">
      <c r="A12" s="104" t="s">
        <v>8</v>
      </c>
      <c r="B12" s="116"/>
      <c r="C12" s="85"/>
      <c r="D12" s="85"/>
    </row>
    <row r="13" spans="1:4" x14ac:dyDescent="0.25">
      <c r="A13" s="108" t="s">
        <v>142</v>
      </c>
      <c r="B13" s="122"/>
      <c r="C13" s="98"/>
      <c r="D13" s="98"/>
    </row>
    <row r="14" spans="1:4" ht="15.75" thickBot="1" x14ac:dyDescent="0.3">
      <c r="A14" s="105" t="s">
        <v>25</v>
      </c>
      <c r="B14" s="120">
        <v>0.1</v>
      </c>
      <c r="D14" s="1" t="s">
        <v>153</v>
      </c>
    </row>
    <row r="15" spans="1:4" ht="15.75" thickTop="1" x14ac:dyDescent="0.25">
      <c r="A15" s="1" t="s">
        <v>145</v>
      </c>
      <c r="B15" s="65">
        <v>100000</v>
      </c>
    </row>
    <row r="16" spans="1:4" x14ac:dyDescent="0.25">
      <c r="A16" s="32" t="s">
        <v>149</v>
      </c>
      <c r="B16" s="72">
        <v>5257.7559654239703</v>
      </c>
    </row>
    <row r="17" spans="1:7" x14ac:dyDescent="0.25">
      <c r="A17" s="1" t="s">
        <v>150</v>
      </c>
      <c r="B17">
        <v>20</v>
      </c>
    </row>
    <row r="18" spans="1:7" x14ac:dyDescent="0.25">
      <c r="A18" s="1" t="s">
        <v>151</v>
      </c>
      <c r="B18">
        <v>30</v>
      </c>
    </row>
    <row r="19" spans="1:7" x14ac:dyDescent="0.25">
      <c r="A19" s="32" t="s">
        <v>152</v>
      </c>
      <c r="B19" s="71">
        <f>PV(B14,B18,B15,,1)/(1+B14)^B17</f>
        <v>-154137.58441910718</v>
      </c>
    </row>
    <row r="20" spans="1:7" x14ac:dyDescent="0.25">
      <c r="A20" s="1"/>
      <c r="B20" s="70"/>
    </row>
    <row r="21" spans="1:7" x14ac:dyDescent="0.25">
      <c r="B21" s="69"/>
    </row>
    <row r="22" spans="1:7" ht="60.75" thickBot="1" x14ac:dyDescent="0.3">
      <c r="A22" s="13" t="s">
        <v>6</v>
      </c>
      <c r="B22" s="19" t="s">
        <v>143</v>
      </c>
      <c r="C22" s="19" t="s">
        <v>146</v>
      </c>
      <c r="D22" s="19" t="s">
        <v>147</v>
      </c>
      <c r="E22" s="19" t="s">
        <v>148</v>
      </c>
      <c r="F22" s="1"/>
      <c r="G22" s="1"/>
    </row>
    <row r="23" spans="1:7" ht="15.75" thickTop="1" x14ac:dyDescent="0.25">
      <c r="A23">
        <v>0</v>
      </c>
      <c r="B23">
        <v>0</v>
      </c>
      <c r="C23" s="22">
        <f>$B$16</f>
        <v>5257.7559654239703</v>
      </c>
      <c r="D23" s="22">
        <f>$B$14*(B23+C23)</f>
        <v>525.77559654239701</v>
      </c>
      <c r="E23" s="22">
        <f>SUM(B23:D23)</f>
        <v>5783.531561966367</v>
      </c>
    </row>
    <row r="24" spans="1:7" x14ac:dyDescent="0.25">
      <c r="A24">
        <v>1</v>
      </c>
      <c r="B24" s="22">
        <f>E23</f>
        <v>5783.531561966367</v>
      </c>
      <c r="C24" s="22">
        <f t="shared" ref="C24:C52" si="0">$B$16</f>
        <v>5257.7559654239703</v>
      </c>
      <c r="D24" s="22">
        <f t="shared" ref="D24:D73" si="1">$B$14*(B24+C24)</f>
        <v>1104.1287527390339</v>
      </c>
      <c r="E24" s="22">
        <f t="shared" ref="E24:E73" si="2">SUM(B24:D24)</f>
        <v>12145.416280129371</v>
      </c>
    </row>
    <row r="25" spans="1:7" x14ac:dyDescent="0.25">
      <c r="A25">
        <v>2</v>
      </c>
      <c r="B25" s="22">
        <f t="shared" ref="B25:B73" si="3">E24</f>
        <v>12145.416280129371</v>
      </c>
      <c r="C25" s="22">
        <f t="shared" si="0"/>
        <v>5257.7559654239703</v>
      </c>
      <c r="D25" s="22">
        <f t="shared" si="1"/>
        <v>1740.3172245553342</v>
      </c>
      <c r="E25" s="22">
        <f t="shared" si="2"/>
        <v>19143.489470108674</v>
      </c>
    </row>
    <row r="26" spans="1:7" x14ac:dyDescent="0.25">
      <c r="A26">
        <v>3</v>
      </c>
      <c r="B26" s="22">
        <f t="shared" si="3"/>
        <v>19143.489470108674</v>
      </c>
      <c r="C26" s="22">
        <f t="shared" si="0"/>
        <v>5257.7559654239703</v>
      </c>
      <c r="D26" s="22">
        <f t="shared" si="1"/>
        <v>2440.1245435532646</v>
      </c>
      <c r="E26" s="22">
        <f t="shared" si="2"/>
        <v>26841.36997908591</v>
      </c>
    </row>
    <row r="27" spans="1:7" x14ac:dyDescent="0.25">
      <c r="A27">
        <v>4</v>
      </c>
      <c r="B27" s="22">
        <f t="shared" si="3"/>
        <v>26841.36997908591</v>
      </c>
      <c r="C27" s="22">
        <f t="shared" si="0"/>
        <v>5257.7559654239703</v>
      </c>
      <c r="D27" s="22">
        <f t="shared" si="1"/>
        <v>3209.9125944509883</v>
      </c>
      <c r="E27" s="22">
        <f t="shared" si="2"/>
        <v>35309.038538960871</v>
      </c>
    </row>
    <row r="28" spans="1:7" x14ac:dyDescent="0.25">
      <c r="A28">
        <v>5</v>
      </c>
      <c r="B28" s="22">
        <f t="shared" si="3"/>
        <v>35309.038538960871</v>
      </c>
      <c r="C28" s="22">
        <f t="shared" si="0"/>
        <v>5257.7559654239703</v>
      </c>
      <c r="D28" s="22">
        <f t="shared" si="1"/>
        <v>4056.6794504384848</v>
      </c>
      <c r="E28" s="22">
        <f t="shared" si="2"/>
        <v>44623.473954823326</v>
      </c>
    </row>
    <row r="29" spans="1:7" x14ac:dyDescent="0.25">
      <c r="A29">
        <v>6</v>
      </c>
      <c r="B29" s="22">
        <f t="shared" si="3"/>
        <v>44623.473954823326</v>
      </c>
      <c r="C29" s="22">
        <f t="shared" si="0"/>
        <v>5257.7559654239703</v>
      </c>
      <c r="D29" s="22">
        <f t="shared" si="1"/>
        <v>4988.1229920247297</v>
      </c>
      <c r="E29" s="22">
        <f t="shared" si="2"/>
        <v>54869.352912272021</v>
      </c>
    </row>
    <row r="30" spans="1:7" x14ac:dyDescent="0.25">
      <c r="A30">
        <v>7</v>
      </c>
      <c r="B30" s="22">
        <f t="shared" si="3"/>
        <v>54869.352912272021</v>
      </c>
      <c r="C30" s="22">
        <f t="shared" si="0"/>
        <v>5257.7559654239703</v>
      </c>
      <c r="D30" s="22">
        <f t="shared" si="1"/>
        <v>6012.7108877696</v>
      </c>
      <c r="E30" s="22">
        <f t="shared" si="2"/>
        <v>66139.819765465596</v>
      </c>
    </row>
    <row r="31" spans="1:7" x14ac:dyDescent="0.25">
      <c r="A31">
        <v>8</v>
      </c>
      <c r="B31" s="22">
        <f t="shared" si="3"/>
        <v>66139.819765465596</v>
      </c>
      <c r="C31" s="22">
        <f t="shared" si="0"/>
        <v>5257.7559654239703</v>
      </c>
      <c r="D31" s="22">
        <f t="shared" si="1"/>
        <v>7139.7575730889575</v>
      </c>
      <c r="E31" s="22">
        <f t="shared" si="2"/>
        <v>78537.333303978521</v>
      </c>
    </row>
    <row r="32" spans="1:7" x14ac:dyDescent="0.25">
      <c r="A32">
        <v>9</v>
      </c>
      <c r="B32" s="22">
        <f t="shared" si="3"/>
        <v>78537.333303978521</v>
      </c>
      <c r="C32" s="22">
        <f t="shared" si="0"/>
        <v>5257.7559654239703</v>
      </c>
      <c r="D32" s="22">
        <f t="shared" si="1"/>
        <v>8379.5089269402506</v>
      </c>
      <c r="E32" s="22">
        <f t="shared" si="2"/>
        <v>92174.598196342748</v>
      </c>
    </row>
    <row r="33" spans="1:5" x14ac:dyDescent="0.25">
      <c r="A33">
        <v>10</v>
      </c>
      <c r="B33" s="22">
        <f t="shared" si="3"/>
        <v>92174.598196342748</v>
      </c>
      <c r="C33" s="22">
        <f t="shared" si="0"/>
        <v>5257.7559654239703</v>
      </c>
      <c r="D33" s="22">
        <f t="shared" si="1"/>
        <v>9743.2354161766725</v>
      </c>
      <c r="E33" s="22">
        <f t="shared" si="2"/>
        <v>107175.58957794339</v>
      </c>
    </row>
    <row r="34" spans="1:5" x14ac:dyDescent="0.25">
      <c r="A34">
        <v>11</v>
      </c>
      <c r="B34" s="22">
        <f t="shared" si="3"/>
        <v>107175.58957794339</v>
      </c>
      <c r="C34" s="22">
        <f t="shared" si="0"/>
        <v>5257.7559654239703</v>
      </c>
      <c r="D34" s="22">
        <f t="shared" si="1"/>
        <v>11243.334554336738</v>
      </c>
      <c r="E34" s="22">
        <f t="shared" si="2"/>
        <v>123676.6800977041</v>
      </c>
    </row>
    <row r="35" spans="1:5" x14ac:dyDescent="0.25">
      <c r="A35">
        <v>12</v>
      </c>
      <c r="B35" s="22">
        <f t="shared" si="3"/>
        <v>123676.6800977041</v>
      </c>
      <c r="C35" s="22">
        <f t="shared" si="0"/>
        <v>5257.7559654239703</v>
      </c>
      <c r="D35" s="22">
        <f t="shared" si="1"/>
        <v>12893.443606312809</v>
      </c>
      <c r="E35" s="22">
        <f t="shared" si="2"/>
        <v>141827.87966944088</v>
      </c>
    </row>
    <row r="36" spans="1:5" x14ac:dyDescent="0.25">
      <c r="A36">
        <v>13</v>
      </c>
      <c r="B36" s="22">
        <f t="shared" si="3"/>
        <v>141827.87966944088</v>
      </c>
      <c r="C36" s="22">
        <f t="shared" si="0"/>
        <v>5257.7559654239703</v>
      </c>
      <c r="D36" s="22">
        <f t="shared" si="1"/>
        <v>14708.563563486487</v>
      </c>
      <c r="E36" s="22">
        <f t="shared" si="2"/>
        <v>161794.19919835133</v>
      </c>
    </row>
    <row r="37" spans="1:5" x14ac:dyDescent="0.25">
      <c r="A37">
        <v>14</v>
      </c>
      <c r="B37" s="22">
        <f t="shared" si="3"/>
        <v>161794.19919835133</v>
      </c>
      <c r="C37" s="22">
        <f t="shared" si="0"/>
        <v>5257.7559654239703</v>
      </c>
      <c r="D37" s="22">
        <f t="shared" si="1"/>
        <v>16705.195516377531</v>
      </c>
      <c r="E37" s="22">
        <f t="shared" si="2"/>
        <v>183757.15068015284</v>
      </c>
    </row>
    <row r="38" spans="1:5" x14ac:dyDescent="0.25">
      <c r="A38">
        <v>15</v>
      </c>
      <c r="B38" s="22">
        <f t="shared" si="3"/>
        <v>183757.15068015284</v>
      </c>
      <c r="C38" s="22">
        <f t="shared" si="0"/>
        <v>5257.7559654239703</v>
      </c>
      <c r="D38" s="22">
        <f t="shared" si="1"/>
        <v>18901.490664557681</v>
      </c>
      <c r="E38" s="22">
        <f t="shared" si="2"/>
        <v>207916.39731013449</v>
      </c>
    </row>
    <row r="39" spans="1:5" x14ac:dyDescent="0.25">
      <c r="A39">
        <v>16</v>
      </c>
      <c r="B39" s="22">
        <f t="shared" si="3"/>
        <v>207916.39731013449</v>
      </c>
      <c r="C39" s="22">
        <f t="shared" si="0"/>
        <v>5257.7559654239703</v>
      </c>
      <c r="D39" s="22">
        <f t="shared" si="1"/>
        <v>21317.415327555849</v>
      </c>
      <c r="E39" s="22">
        <f t="shared" si="2"/>
        <v>234491.56860311431</v>
      </c>
    </row>
    <row r="40" spans="1:5" x14ac:dyDescent="0.25">
      <c r="A40">
        <v>17</v>
      </c>
      <c r="B40" s="22">
        <f t="shared" si="3"/>
        <v>234491.56860311431</v>
      </c>
      <c r="C40" s="22">
        <f t="shared" si="0"/>
        <v>5257.7559654239703</v>
      </c>
      <c r="D40" s="22">
        <f t="shared" si="1"/>
        <v>23974.932456853829</v>
      </c>
      <c r="E40" s="22">
        <f t="shared" si="2"/>
        <v>263724.25702539214</v>
      </c>
    </row>
    <row r="41" spans="1:5" x14ac:dyDescent="0.25">
      <c r="A41">
        <v>18</v>
      </c>
      <c r="B41" s="22">
        <f t="shared" si="3"/>
        <v>263724.25702539214</v>
      </c>
      <c r="C41" s="22">
        <f t="shared" si="0"/>
        <v>5257.7559654239703</v>
      </c>
      <c r="D41" s="22">
        <f t="shared" si="1"/>
        <v>26898.201299081611</v>
      </c>
      <c r="E41" s="22">
        <f t="shared" si="2"/>
        <v>295880.2142898977</v>
      </c>
    </row>
    <row r="42" spans="1:5" x14ac:dyDescent="0.25">
      <c r="A42">
        <v>19</v>
      </c>
      <c r="B42" s="22">
        <f t="shared" si="3"/>
        <v>295880.2142898977</v>
      </c>
      <c r="C42" s="22">
        <f t="shared" si="0"/>
        <v>5257.7559654239703</v>
      </c>
      <c r="D42" s="22">
        <f t="shared" si="1"/>
        <v>30113.797025532167</v>
      </c>
      <c r="E42" s="22">
        <f t="shared" si="2"/>
        <v>331251.76728085382</v>
      </c>
    </row>
    <row r="43" spans="1:5" x14ac:dyDescent="0.25">
      <c r="A43">
        <v>20</v>
      </c>
      <c r="B43" s="22">
        <f t="shared" si="3"/>
        <v>331251.76728085382</v>
      </c>
      <c r="C43" s="22">
        <f t="shared" si="0"/>
        <v>5257.7559654239703</v>
      </c>
      <c r="D43" s="22">
        <f t="shared" si="1"/>
        <v>33650.952324627775</v>
      </c>
      <c r="E43" s="22">
        <f t="shared" si="2"/>
        <v>370160.47557090555</v>
      </c>
    </row>
    <row r="44" spans="1:5" x14ac:dyDescent="0.25">
      <c r="A44">
        <v>21</v>
      </c>
      <c r="B44" s="22">
        <f t="shared" si="3"/>
        <v>370160.47557090555</v>
      </c>
      <c r="C44" s="22">
        <f t="shared" si="0"/>
        <v>5257.7559654239703</v>
      </c>
      <c r="D44" s="22">
        <f t="shared" si="1"/>
        <v>37541.823153632948</v>
      </c>
      <c r="E44" s="22">
        <f t="shared" si="2"/>
        <v>412960.05468996242</v>
      </c>
    </row>
    <row r="45" spans="1:5" x14ac:dyDescent="0.25">
      <c r="A45">
        <v>22</v>
      </c>
      <c r="B45" s="22">
        <f t="shared" si="3"/>
        <v>412960.05468996242</v>
      </c>
      <c r="C45" s="22">
        <f t="shared" si="0"/>
        <v>5257.7559654239703</v>
      </c>
      <c r="D45" s="22">
        <f t="shared" si="1"/>
        <v>41821.781065538642</v>
      </c>
      <c r="E45" s="22">
        <f t="shared" si="2"/>
        <v>460039.591720925</v>
      </c>
    </row>
    <row r="46" spans="1:5" x14ac:dyDescent="0.25">
      <c r="A46">
        <v>23</v>
      </c>
      <c r="B46" s="22">
        <f t="shared" si="3"/>
        <v>460039.591720925</v>
      </c>
      <c r="C46" s="22">
        <f t="shared" si="0"/>
        <v>5257.7559654239703</v>
      </c>
      <c r="D46" s="22">
        <f t="shared" si="1"/>
        <v>46529.734768634895</v>
      </c>
      <c r="E46" s="22">
        <f t="shared" si="2"/>
        <v>511827.08245498384</v>
      </c>
    </row>
    <row r="47" spans="1:5" x14ac:dyDescent="0.25">
      <c r="A47">
        <v>24</v>
      </c>
      <c r="B47" s="22">
        <f t="shared" si="3"/>
        <v>511827.08245498384</v>
      </c>
      <c r="C47" s="22">
        <f t="shared" si="0"/>
        <v>5257.7559654239703</v>
      </c>
      <c r="D47" s="22">
        <f t="shared" si="1"/>
        <v>51708.483842040783</v>
      </c>
      <c r="E47" s="22">
        <f t="shared" si="2"/>
        <v>568793.32226244861</v>
      </c>
    </row>
    <row r="48" spans="1:5" x14ac:dyDescent="0.25">
      <c r="A48">
        <v>25</v>
      </c>
      <c r="B48" s="22">
        <f t="shared" si="3"/>
        <v>568793.32226244861</v>
      </c>
      <c r="C48" s="22">
        <f t="shared" si="0"/>
        <v>5257.7559654239703</v>
      </c>
      <c r="D48" s="22">
        <f t="shared" si="1"/>
        <v>57405.107822787264</v>
      </c>
      <c r="E48" s="22">
        <f t="shared" si="2"/>
        <v>631456.18605065986</v>
      </c>
    </row>
    <row r="49" spans="1:5" x14ac:dyDescent="0.25">
      <c r="A49">
        <v>26</v>
      </c>
      <c r="B49" s="22">
        <f t="shared" si="3"/>
        <v>631456.18605065986</v>
      </c>
      <c r="C49" s="22">
        <f t="shared" si="0"/>
        <v>5257.7559654239703</v>
      </c>
      <c r="D49" s="22">
        <f t="shared" si="1"/>
        <v>63671.394201608389</v>
      </c>
      <c r="E49" s="22">
        <f t="shared" si="2"/>
        <v>700385.33621769224</v>
      </c>
    </row>
    <row r="50" spans="1:5" x14ac:dyDescent="0.25">
      <c r="A50">
        <v>27</v>
      </c>
      <c r="B50" s="22">
        <f t="shared" si="3"/>
        <v>700385.33621769224</v>
      </c>
      <c r="C50" s="22">
        <f t="shared" si="0"/>
        <v>5257.7559654239703</v>
      </c>
      <c r="D50" s="22">
        <f t="shared" si="1"/>
        <v>70564.309218311624</v>
      </c>
      <c r="E50" s="22">
        <f t="shared" si="2"/>
        <v>776207.40140142781</v>
      </c>
    </row>
    <row r="51" spans="1:5" x14ac:dyDescent="0.25">
      <c r="A51">
        <v>28</v>
      </c>
      <c r="B51" s="22">
        <f t="shared" si="3"/>
        <v>776207.40140142781</v>
      </c>
      <c r="C51" s="22">
        <f t="shared" si="0"/>
        <v>5257.7559654239703</v>
      </c>
      <c r="D51" s="22">
        <f t="shared" si="1"/>
        <v>78146.515736685178</v>
      </c>
      <c r="E51" s="22">
        <f t="shared" si="2"/>
        <v>859611.67310353694</v>
      </c>
    </row>
    <row r="52" spans="1:5" x14ac:dyDescent="0.25">
      <c r="A52">
        <v>29</v>
      </c>
      <c r="B52" s="22">
        <f t="shared" si="3"/>
        <v>859611.67310353694</v>
      </c>
      <c r="C52" s="22">
        <f t="shared" si="0"/>
        <v>5257.7559654239703</v>
      </c>
      <c r="D52" s="22">
        <f t="shared" si="1"/>
        <v>86486.942906896104</v>
      </c>
      <c r="E52" s="22">
        <f t="shared" si="2"/>
        <v>951356.37197585707</v>
      </c>
    </row>
    <row r="53" spans="1:5" x14ac:dyDescent="0.25">
      <c r="A53">
        <v>30</v>
      </c>
      <c r="B53" s="22">
        <f t="shared" si="3"/>
        <v>951356.37197585707</v>
      </c>
      <c r="C53" s="65">
        <f>-$B$15</f>
        <v>-100000</v>
      </c>
      <c r="D53" s="22">
        <f>$B$14*(B53+C53)</f>
        <v>85135.637197585718</v>
      </c>
      <c r="E53" s="22">
        <f t="shared" si="2"/>
        <v>936492.00917344284</v>
      </c>
    </row>
    <row r="54" spans="1:5" x14ac:dyDescent="0.25">
      <c r="A54">
        <v>31</v>
      </c>
      <c r="B54" s="22">
        <f t="shared" si="3"/>
        <v>936492.00917344284</v>
      </c>
      <c r="C54" s="65">
        <f t="shared" ref="C54:C73" si="4">-$B$15</f>
        <v>-100000</v>
      </c>
      <c r="D54" s="22">
        <f t="shared" si="1"/>
        <v>83649.200917344293</v>
      </c>
      <c r="E54" s="22">
        <f t="shared" si="2"/>
        <v>920141.21009078715</v>
      </c>
    </row>
    <row r="55" spans="1:5" x14ac:dyDescent="0.25">
      <c r="A55">
        <v>32</v>
      </c>
      <c r="B55" s="22">
        <f t="shared" si="3"/>
        <v>920141.21009078715</v>
      </c>
      <c r="C55" s="65">
        <f t="shared" si="4"/>
        <v>-100000</v>
      </c>
      <c r="D55" s="22">
        <f t="shared" si="1"/>
        <v>82014.121009078721</v>
      </c>
      <c r="E55" s="22">
        <f t="shared" si="2"/>
        <v>902155.33109986584</v>
      </c>
    </row>
    <row r="56" spans="1:5" x14ac:dyDescent="0.25">
      <c r="A56">
        <v>33</v>
      </c>
      <c r="B56" s="22">
        <f t="shared" si="3"/>
        <v>902155.33109986584</v>
      </c>
      <c r="C56" s="65">
        <f t="shared" si="4"/>
        <v>-100000</v>
      </c>
      <c r="D56" s="22">
        <f t="shared" si="1"/>
        <v>80215.533109986587</v>
      </c>
      <c r="E56" s="22">
        <f t="shared" si="2"/>
        <v>882370.86420985241</v>
      </c>
    </row>
    <row r="57" spans="1:5" x14ac:dyDescent="0.25">
      <c r="A57">
        <v>34</v>
      </c>
      <c r="B57" s="22">
        <f t="shared" si="3"/>
        <v>882370.86420985241</v>
      </c>
      <c r="C57" s="65">
        <f t="shared" si="4"/>
        <v>-100000</v>
      </c>
      <c r="D57" s="22">
        <f t="shared" si="1"/>
        <v>78237.086420985244</v>
      </c>
      <c r="E57" s="22">
        <f t="shared" si="2"/>
        <v>860607.9506308377</v>
      </c>
    </row>
    <row r="58" spans="1:5" x14ac:dyDescent="0.25">
      <c r="A58">
        <v>35</v>
      </c>
      <c r="B58" s="22">
        <f t="shared" si="3"/>
        <v>860607.9506308377</v>
      </c>
      <c r="C58" s="65">
        <f t="shared" si="4"/>
        <v>-100000</v>
      </c>
      <c r="D58" s="22">
        <f t="shared" si="1"/>
        <v>76060.795063083773</v>
      </c>
      <c r="E58" s="22">
        <f t="shared" si="2"/>
        <v>836668.74569392146</v>
      </c>
    </row>
    <row r="59" spans="1:5" x14ac:dyDescent="0.25">
      <c r="A59">
        <v>36</v>
      </c>
      <c r="B59" s="22">
        <f t="shared" si="3"/>
        <v>836668.74569392146</v>
      </c>
      <c r="C59" s="65">
        <f t="shared" si="4"/>
        <v>-100000</v>
      </c>
      <c r="D59" s="22">
        <f t="shared" si="1"/>
        <v>73666.874569392152</v>
      </c>
      <c r="E59" s="22">
        <f t="shared" si="2"/>
        <v>810335.62026331364</v>
      </c>
    </row>
    <row r="60" spans="1:5" x14ac:dyDescent="0.25">
      <c r="A60">
        <v>37</v>
      </c>
      <c r="B60" s="22">
        <f t="shared" si="3"/>
        <v>810335.62026331364</v>
      </c>
      <c r="C60" s="65">
        <f t="shared" si="4"/>
        <v>-100000</v>
      </c>
      <c r="D60" s="22">
        <f t="shared" si="1"/>
        <v>71033.562026331361</v>
      </c>
      <c r="E60" s="22">
        <f t="shared" si="2"/>
        <v>781369.18228964496</v>
      </c>
    </row>
    <row r="61" spans="1:5" x14ac:dyDescent="0.25">
      <c r="A61">
        <v>38</v>
      </c>
      <c r="B61" s="22">
        <f t="shared" si="3"/>
        <v>781369.18228964496</v>
      </c>
      <c r="C61" s="65">
        <f t="shared" si="4"/>
        <v>-100000</v>
      </c>
      <c r="D61" s="22">
        <f t="shared" si="1"/>
        <v>68136.918228964496</v>
      </c>
      <c r="E61" s="22">
        <f t="shared" si="2"/>
        <v>749506.1005186094</v>
      </c>
    </row>
    <row r="62" spans="1:5" x14ac:dyDescent="0.25">
      <c r="A62">
        <v>39</v>
      </c>
      <c r="B62" s="22">
        <f t="shared" si="3"/>
        <v>749506.1005186094</v>
      </c>
      <c r="C62" s="65">
        <f t="shared" si="4"/>
        <v>-100000</v>
      </c>
      <c r="D62" s="22">
        <f t="shared" si="1"/>
        <v>64950.610051860946</v>
      </c>
      <c r="E62" s="22">
        <f t="shared" si="2"/>
        <v>714456.71057047031</v>
      </c>
    </row>
    <row r="63" spans="1:5" x14ac:dyDescent="0.25">
      <c r="A63">
        <v>40</v>
      </c>
      <c r="B63" s="22">
        <f t="shared" si="3"/>
        <v>714456.71057047031</v>
      </c>
      <c r="C63" s="65">
        <f t="shared" si="4"/>
        <v>-100000</v>
      </c>
      <c r="D63" s="22">
        <f t="shared" si="1"/>
        <v>61445.671057047031</v>
      </c>
      <c r="E63" s="22">
        <f t="shared" si="2"/>
        <v>675902.38162751729</v>
      </c>
    </row>
    <row r="64" spans="1:5" x14ac:dyDescent="0.25">
      <c r="A64">
        <v>41</v>
      </c>
      <c r="B64" s="22">
        <f t="shared" si="3"/>
        <v>675902.38162751729</v>
      </c>
      <c r="C64" s="65">
        <f t="shared" si="4"/>
        <v>-100000</v>
      </c>
      <c r="D64" s="22">
        <f t="shared" si="1"/>
        <v>57590.238162751732</v>
      </c>
      <c r="E64" s="22">
        <f t="shared" si="2"/>
        <v>633492.61979026906</v>
      </c>
    </row>
    <row r="65" spans="1:5" x14ac:dyDescent="0.25">
      <c r="A65">
        <v>42</v>
      </c>
      <c r="B65" s="22">
        <f t="shared" si="3"/>
        <v>633492.61979026906</v>
      </c>
      <c r="C65" s="65">
        <f t="shared" si="4"/>
        <v>-100000</v>
      </c>
      <c r="D65" s="22">
        <f t="shared" si="1"/>
        <v>53349.261979026909</v>
      </c>
      <c r="E65" s="22">
        <f t="shared" si="2"/>
        <v>586841.88176929601</v>
      </c>
    </row>
    <row r="66" spans="1:5" x14ac:dyDescent="0.25">
      <c r="A66">
        <v>43</v>
      </c>
      <c r="B66" s="22">
        <f t="shared" si="3"/>
        <v>586841.88176929601</v>
      </c>
      <c r="C66" s="65">
        <f t="shared" si="4"/>
        <v>-100000</v>
      </c>
      <c r="D66" s="22">
        <f t="shared" si="1"/>
        <v>48684.188176929601</v>
      </c>
      <c r="E66" s="22">
        <f t="shared" si="2"/>
        <v>535526.06994622562</v>
      </c>
    </row>
    <row r="67" spans="1:5" x14ac:dyDescent="0.25">
      <c r="A67">
        <v>44</v>
      </c>
      <c r="B67" s="22">
        <f t="shared" si="3"/>
        <v>535526.06994622562</v>
      </c>
      <c r="C67" s="65">
        <f t="shared" si="4"/>
        <v>-100000</v>
      </c>
      <c r="D67" s="22">
        <f t="shared" si="1"/>
        <v>43552.606994622562</v>
      </c>
      <c r="E67" s="22">
        <f t="shared" si="2"/>
        <v>479078.67694084818</v>
      </c>
    </row>
    <row r="68" spans="1:5" x14ac:dyDescent="0.25">
      <c r="A68">
        <v>45</v>
      </c>
      <c r="B68" s="22">
        <f t="shared" si="3"/>
        <v>479078.67694084818</v>
      </c>
      <c r="C68" s="65">
        <f t="shared" si="4"/>
        <v>-100000</v>
      </c>
      <c r="D68" s="22">
        <f t="shared" si="1"/>
        <v>37907.867694084816</v>
      </c>
      <c r="E68" s="22">
        <f t="shared" si="2"/>
        <v>416986.544634933</v>
      </c>
    </row>
    <row r="69" spans="1:5" x14ac:dyDescent="0.25">
      <c r="A69">
        <v>46</v>
      </c>
      <c r="B69" s="22">
        <f t="shared" si="3"/>
        <v>416986.544634933</v>
      </c>
      <c r="C69" s="65">
        <f t="shared" si="4"/>
        <v>-100000</v>
      </c>
      <c r="D69" s="22">
        <f t="shared" si="1"/>
        <v>31698.654463493302</v>
      </c>
      <c r="E69" s="22">
        <f t="shared" si="2"/>
        <v>348685.19909842632</v>
      </c>
    </row>
    <row r="70" spans="1:5" x14ac:dyDescent="0.25">
      <c r="A70">
        <v>47</v>
      </c>
      <c r="B70" s="22">
        <f t="shared" si="3"/>
        <v>348685.19909842632</v>
      </c>
      <c r="C70" s="65">
        <f t="shared" si="4"/>
        <v>-100000</v>
      </c>
      <c r="D70" s="22">
        <f t="shared" si="1"/>
        <v>24868.519909842635</v>
      </c>
      <c r="E70" s="22">
        <f t="shared" si="2"/>
        <v>273553.71900826896</v>
      </c>
    </row>
    <row r="71" spans="1:5" x14ac:dyDescent="0.25">
      <c r="A71">
        <v>48</v>
      </c>
      <c r="B71" s="22">
        <f t="shared" si="3"/>
        <v>273553.71900826896</v>
      </c>
      <c r="C71" s="65">
        <f t="shared" si="4"/>
        <v>-100000</v>
      </c>
      <c r="D71" s="22">
        <f t="shared" si="1"/>
        <v>17355.371900826896</v>
      </c>
      <c r="E71" s="22">
        <f t="shared" si="2"/>
        <v>190909.09090909586</v>
      </c>
    </row>
    <row r="72" spans="1:5" x14ac:dyDescent="0.25">
      <c r="A72">
        <v>49</v>
      </c>
      <c r="B72" s="22">
        <f t="shared" si="3"/>
        <v>190909.09090909586</v>
      </c>
      <c r="C72" s="65">
        <f t="shared" si="4"/>
        <v>-100000</v>
      </c>
      <c r="D72" s="22">
        <f t="shared" si="1"/>
        <v>9090.9090909095867</v>
      </c>
      <c r="E72" s="22">
        <f t="shared" si="2"/>
        <v>100000.00000000544</v>
      </c>
    </row>
    <row r="73" spans="1:5" x14ac:dyDescent="0.25">
      <c r="A73">
        <v>50</v>
      </c>
      <c r="B73" s="22">
        <f t="shared" si="3"/>
        <v>100000.00000000544</v>
      </c>
      <c r="C73" s="65">
        <f t="shared" si="4"/>
        <v>-100000</v>
      </c>
      <c r="D73" s="22">
        <f t="shared" si="1"/>
        <v>5.4424162954092024E-10</v>
      </c>
      <c r="E73" s="22">
        <f t="shared" si="2"/>
        <v>5.9866579249501225E-9</v>
      </c>
    </row>
  </sheetData>
  <mergeCells count="4">
    <mergeCell ref="A1:D1"/>
    <mergeCell ref="A2:D2"/>
    <mergeCell ref="A12:D12"/>
    <mergeCell ref="A13:D13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281C57-FFC2-4227-A59E-09E8E58B96D2}">
  <dimension ref="A1:F43"/>
  <sheetViews>
    <sheetView tabSelected="1" workbookViewId="0">
      <selection activeCell="J10" sqref="J10"/>
    </sheetView>
  </sheetViews>
  <sheetFormatPr defaultRowHeight="15" x14ac:dyDescent="0.25"/>
  <cols>
    <col min="1" max="1" width="15.28515625" customWidth="1"/>
    <col min="2" max="2" width="10.85546875" customWidth="1"/>
    <col min="3" max="3" width="10.85546875" bestFit="1" customWidth="1"/>
    <col min="4" max="4" width="11.5703125" bestFit="1" customWidth="1"/>
    <col min="5" max="5" width="10.85546875" bestFit="1" customWidth="1"/>
  </cols>
  <sheetData>
    <row r="1" spans="1:4" x14ac:dyDescent="0.25">
      <c r="A1" s="84" t="s">
        <v>0</v>
      </c>
      <c r="B1" s="84"/>
      <c r="C1" s="84"/>
      <c r="D1" s="84"/>
    </row>
    <row r="2" spans="1:4" x14ac:dyDescent="0.25">
      <c r="A2" s="85" t="s">
        <v>154</v>
      </c>
      <c r="B2" s="85"/>
      <c r="C2" s="85"/>
      <c r="D2" s="85"/>
    </row>
    <row r="3" spans="1:4" x14ac:dyDescent="0.25">
      <c r="A3" t="s">
        <v>155</v>
      </c>
    </row>
    <row r="4" spans="1:4" x14ac:dyDescent="0.25">
      <c r="A4" t="s">
        <v>156</v>
      </c>
    </row>
    <row r="5" spans="1:4" x14ac:dyDescent="0.25">
      <c r="A5" t="s">
        <v>157</v>
      </c>
    </row>
    <row r="6" spans="1:4" x14ac:dyDescent="0.25">
      <c r="A6" t="s">
        <v>158</v>
      </c>
    </row>
    <row r="7" spans="1:4" x14ac:dyDescent="0.25">
      <c r="A7" s="7"/>
      <c r="B7" s="51"/>
    </row>
    <row r="8" spans="1:4" x14ac:dyDescent="0.25">
      <c r="A8" s="101" t="s">
        <v>159</v>
      </c>
      <c r="B8" s="15"/>
    </row>
    <row r="9" spans="1:4" x14ac:dyDescent="0.25">
      <c r="A9" s="101" t="s">
        <v>160</v>
      </c>
      <c r="B9" s="15"/>
    </row>
    <row r="10" spans="1:4" x14ac:dyDescent="0.25">
      <c r="A10" s="101" t="s">
        <v>161</v>
      </c>
      <c r="B10" s="15"/>
    </row>
    <row r="11" spans="1:4" x14ac:dyDescent="0.25">
      <c r="A11" s="101"/>
      <c r="B11" s="15"/>
    </row>
    <row r="12" spans="1:4" x14ac:dyDescent="0.25">
      <c r="A12" s="106" t="s">
        <v>162</v>
      </c>
      <c r="B12" s="118"/>
      <c r="C12" s="99"/>
      <c r="D12" s="99"/>
    </row>
    <row r="13" spans="1:4" x14ac:dyDescent="0.25">
      <c r="A13" s="107" t="s">
        <v>163</v>
      </c>
      <c r="B13" s="119">
        <v>0.05</v>
      </c>
    </row>
    <row r="14" spans="1:4" ht="15.75" thickBot="1" x14ac:dyDescent="0.3">
      <c r="A14" s="105" t="s">
        <v>164</v>
      </c>
      <c r="B14" s="120">
        <v>0.06</v>
      </c>
    </row>
    <row r="15" spans="1:4" ht="15.75" thickTop="1" x14ac:dyDescent="0.25">
      <c r="A15" s="1" t="s">
        <v>165</v>
      </c>
      <c r="B15" s="65">
        <v>25000</v>
      </c>
      <c r="D15" s="22"/>
    </row>
    <row r="17" spans="1:6" x14ac:dyDescent="0.25">
      <c r="A17" s="99" t="s">
        <v>166</v>
      </c>
      <c r="B17" s="99"/>
      <c r="C17" s="99"/>
      <c r="D17" s="99"/>
      <c r="E17" s="99"/>
    </row>
    <row r="18" spans="1:6" ht="30" x14ac:dyDescent="0.25">
      <c r="A18" s="1" t="s">
        <v>45</v>
      </c>
      <c r="B18" s="17" t="s">
        <v>168</v>
      </c>
      <c r="C18" s="1" t="s">
        <v>167</v>
      </c>
      <c r="D18" s="1" t="s">
        <v>25</v>
      </c>
      <c r="E18" s="17" t="s">
        <v>169</v>
      </c>
      <c r="F18" s="1"/>
    </row>
    <row r="19" spans="1:6" x14ac:dyDescent="0.25">
      <c r="A19">
        <v>1</v>
      </c>
      <c r="B19">
        <v>25000</v>
      </c>
      <c r="C19" s="22">
        <f>PMT($B$14,2,-$B$15)</f>
        <v>13635.922330097088</v>
      </c>
      <c r="D19" s="22">
        <f>B19*$B$14</f>
        <v>1500</v>
      </c>
      <c r="E19" s="22">
        <f>C19-D19</f>
        <v>12135.922330097088</v>
      </c>
    </row>
    <row r="20" spans="1:6" x14ac:dyDescent="0.25">
      <c r="A20">
        <v>2</v>
      </c>
      <c r="B20">
        <f>B19-E19</f>
        <v>12864.077669902912</v>
      </c>
      <c r="C20" s="22">
        <f>PMT($B$14,2,-$B$15)</f>
        <v>13635.922330097088</v>
      </c>
      <c r="D20" s="22">
        <f>B20*$B$14</f>
        <v>771.84466019417471</v>
      </c>
      <c r="E20">
        <f>C20-D20</f>
        <v>12864.077669902914</v>
      </c>
    </row>
    <row r="21" spans="1:6" x14ac:dyDescent="0.25">
      <c r="B21" s="1" t="s">
        <v>170</v>
      </c>
      <c r="D21" s="22">
        <f>SUM(D19:D20)</f>
        <v>2271.8446601941746</v>
      </c>
    </row>
    <row r="22" spans="1:6" x14ac:dyDescent="0.25">
      <c r="A22" s="1"/>
    </row>
    <row r="23" spans="1:6" x14ac:dyDescent="0.25">
      <c r="A23" s="99" t="s">
        <v>171</v>
      </c>
      <c r="B23" s="99"/>
      <c r="C23" s="99"/>
      <c r="D23" s="99"/>
      <c r="E23" s="99"/>
    </row>
    <row r="24" spans="1:6" ht="75" x14ac:dyDescent="0.25">
      <c r="A24" s="73" t="s">
        <v>45</v>
      </c>
      <c r="B24" s="74" t="s">
        <v>172</v>
      </c>
      <c r="C24" s="74" t="s">
        <v>173</v>
      </c>
      <c r="D24" s="74" t="s">
        <v>174</v>
      </c>
    </row>
    <row r="25" spans="1:6" x14ac:dyDescent="0.25">
      <c r="A25">
        <v>1</v>
      </c>
      <c r="B25">
        <v>25000</v>
      </c>
      <c r="C25">
        <f>B25*$B$13</f>
        <v>1250</v>
      </c>
      <c r="D25">
        <f>C25+B25</f>
        <v>26250</v>
      </c>
    </row>
    <row r="26" spans="1:6" x14ac:dyDescent="0.25">
      <c r="A26">
        <v>2</v>
      </c>
      <c r="B26">
        <f>D25</f>
        <v>26250</v>
      </c>
      <c r="C26">
        <f>B26*$B$13</f>
        <v>1312.5</v>
      </c>
      <c r="D26">
        <f>C26+B26</f>
        <v>27562.5</v>
      </c>
    </row>
    <row r="27" spans="1:6" x14ac:dyDescent="0.25">
      <c r="B27" s="1" t="s">
        <v>175</v>
      </c>
      <c r="C27">
        <f>SUM(C25:C26)</f>
        <v>2562.5</v>
      </c>
    </row>
    <row r="29" spans="1:6" x14ac:dyDescent="0.25">
      <c r="A29" s="85" t="s">
        <v>23</v>
      </c>
      <c r="B29" s="85"/>
      <c r="C29" s="85"/>
    </row>
    <row r="30" spans="1:6" x14ac:dyDescent="0.25">
      <c r="A30" t="s">
        <v>176</v>
      </c>
    </row>
    <row r="31" spans="1:6" x14ac:dyDescent="0.25">
      <c r="A31" s="1"/>
    </row>
    <row r="32" spans="1:6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</sheetData>
  <mergeCells count="6">
    <mergeCell ref="A29:C29"/>
    <mergeCell ref="A1:D1"/>
    <mergeCell ref="A2:D2"/>
    <mergeCell ref="A12:D12"/>
    <mergeCell ref="A17:E17"/>
    <mergeCell ref="A23:E23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3674F3-0514-468D-A2FE-E1506CD90A18}">
  <dimension ref="A1:D15"/>
  <sheetViews>
    <sheetView tabSelected="1" workbookViewId="0">
      <selection activeCell="J10" sqref="J10"/>
    </sheetView>
  </sheetViews>
  <sheetFormatPr defaultRowHeight="15" x14ac:dyDescent="0.25"/>
  <cols>
    <col min="1" max="1" width="9.42578125" bestFit="1" customWidth="1"/>
    <col min="2" max="2" width="10.85546875" customWidth="1"/>
  </cols>
  <sheetData>
    <row r="1" spans="1:4" x14ac:dyDescent="0.25">
      <c r="A1" s="84" t="s">
        <v>0</v>
      </c>
      <c r="B1" s="84"/>
      <c r="C1" s="84"/>
      <c r="D1" s="84"/>
    </row>
    <row r="2" spans="1:4" x14ac:dyDescent="0.25">
      <c r="A2" s="85" t="s">
        <v>177</v>
      </c>
      <c r="B2" s="85"/>
      <c r="C2" s="85"/>
      <c r="D2" s="85"/>
    </row>
    <row r="3" spans="1:4" x14ac:dyDescent="0.25">
      <c r="A3" t="s">
        <v>178</v>
      </c>
    </row>
    <row r="4" spans="1:4" x14ac:dyDescent="0.25">
      <c r="A4" s="1" t="s">
        <v>179</v>
      </c>
    </row>
    <row r="5" spans="1:4" x14ac:dyDescent="0.25">
      <c r="A5" s="75">
        <v>44012</v>
      </c>
      <c r="B5">
        <v>-899</v>
      </c>
    </row>
    <row r="6" spans="1:4" x14ac:dyDescent="0.25">
      <c r="A6" s="75">
        <v>44241</v>
      </c>
      <c r="B6">
        <v>70</v>
      </c>
    </row>
    <row r="7" spans="1:4" x14ac:dyDescent="0.25">
      <c r="A7" s="103">
        <v>44606</v>
      </c>
      <c r="B7" s="51">
        <v>70</v>
      </c>
    </row>
    <row r="8" spans="1:4" x14ac:dyDescent="0.25">
      <c r="A8" s="100">
        <v>44971</v>
      </c>
      <c r="B8" s="15">
        <v>70</v>
      </c>
    </row>
    <row r="9" spans="1:4" x14ac:dyDescent="0.25">
      <c r="A9" s="100">
        <v>45336</v>
      </c>
      <c r="B9" s="15">
        <v>70</v>
      </c>
    </row>
    <row r="10" spans="1:4" x14ac:dyDescent="0.25">
      <c r="A10" s="100">
        <v>45702</v>
      </c>
      <c r="B10" s="15">
        <v>70</v>
      </c>
    </row>
    <row r="11" spans="1:4" x14ac:dyDescent="0.25">
      <c r="A11" s="100">
        <v>46067</v>
      </c>
      <c r="B11" s="15">
        <v>1070</v>
      </c>
    </row>
    <row r="12" spans="1:4" x14ac:dyDescent="0.25">
      <c r="A12" s="101"/>
      <c r="B12" s="15"/>
    </row>
    <row r="13" spans="1:4" x14ac:dyDescent="0.25">
      <c r="A13" s="104" t="s">
        <v>180</v>
      </c>
      <c r="B13" s="116"/>
      <c r="C13" s="85"/>
      <c r="D13" s="85"/>
    </row>
    <row r="14" spans="1:4" ht="15.75" thickBot="1" x14ac:dyDescent="0.3">
      <c r="A14" s="105" t="s">
        <v>181</v>
      </c>
      <c r="B14" s="117">
        <f>XIRR(B5:B11,A5:A11)</f>
        <v>0.10041883587837222</v>
      </c>
    </row>
    <row r="15" spans="1:4" ht="15.75" thickTop="1" x14ac:dyDescent="0.25"/>
  </sheetData>
  <mergeCells count="3">
    <mergeCell ref="A1:D1"/>
    <mergeCell ref="A2:D2"/>
    <mergeCell ref="A13:D13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AF0913-2072-41EC-B534-90453B9B3BE5}">
  <dimension ref="A1:D20"/>
  <sheetViews>
    <sheetView tabSelected="1" workbookViewId="0">
      <selection activeCell="J10" sqref="J10"/>
    </sheetView>
  </sheetViews>
  <sheetFormatPr defaultRowHeight="15" x14ac:dyDescent="0.25"/>
  <cols>
    <col min="1" max="1" width="12.140625" customWidth="1"/>
    <col min="2" max="2" width="10.85546875" customWidth="1"/>
  </cols>
  <sheetData>
    <row r="1" spans="1:4" x14ac:dyDescent="0.25">
      <c r="A1" s="84" t="s">
        <v>0</v>
      </c>
      <c r="B1" s="84"/>
      <c r="C1" s="84"/>
      <c r="D1" s="84"/>
    </row>
    <row r="2" spans="1:4" x14ac:dyDescent="0.25">
      <c r="A2" s="85" t="s">
        <v>187</v>
      </c>
      <c r="B2" s="85"/>
      <c r="C2" s="85"/>
      <c r="D2" s="85"/>
    </row>
    <row r="3" spans="1:4" x14ac:dyDescent="0.25">
      <c r="A3" t="s">
        <v>182</v>
      </c>
    </row>
    <row r="4" spans="1:4" x14ac:dyDescent="0.25">
      <c r="A4" t="s">
        <v>188</v>
      </c>
    </row>
    <row r="6" spans="1:4" x14ac:dyDescent="0.25">
      <c r="A6" s="1" t="s">
        <v>185</v>
      </c>
      <c r="B6" s="2">
        <v>0.15</v>
      </c>
    </row>
    <row r="7" spans="1:4" x14ac:dyDescent="0.25">
      <c r="A7" s="6" t="s">
        <v>183</v>
      </c>
      <c r="B7" s="44" t="s">
        <v>184</v>
      </c>
    </row>
    <row r="8" spans="1:4" x14ac:dyDescent="0.25">
      <c r="A8" s="100">
        <v>44012</v>
      </c>
      <c r="B8" s="15">
        <v>-500</v>
      </c>
    </row>
    <row r="9" spans="1:4" x14ac:dyDescent="0.25">
      <c r="A9" s="100">
        <v>44241</v>
      </c>
      <c r="B9" s="15">
        <v>100</v>
      </c>
    </row>
    <row r="10" spans="1:4" x14ac:dyDescent="0.25">
      <c r="A10" s="100">
        <v>44606</v>
      </c>
      <c r="B10" s="15">
        <v>300</v>
      </c>
    </row>
    <row r="11" spans="1:4" x14ac:dyDescent="0.25">
      <c r="A11" s="100">
        <v>44971</v>
      </c>
      <c r="B11" s="15">
        <v>400</v>
      </c>
    </row>
    <row r="12" spans="1:4" x14ac:dyDescent="0.25">
      <c r="A12" s="100">
        <v>45336</v>
      </c>
      <c r="B12" s="15">
        <v>600</v>
      </c>
    </row>
    <row r="13" spans="1:4" x14ac:dyDescent="0.25">
      <c r="A13" s="100">
        <v>45702</v>
      </c>
      <c r="B13" s="15">
        <v>800</v>
      </c>
    </row>
    <row r="14" spans="1:4" ht="15.75" thickBot="1" x14ac:dyDescent="0.3">
      <c r="A14" s="102">
        <v>46067</v>
      </c>
      <c r="B14" s="16">
        <v>-1800</v>
      </c>
    </row>
    <row r="15" spans="1:4" ht="15.75" thickTop="1" x14ac:dyDescent="0.25"/>
    <row r="16" spans="1:4" x14ac:dyDescent="0.25">
      <c r="A16" s="85" t="s">
        <v>129</v>
      </c>
      <c r="B16" s="85"/>
      <c r="C16" s="85"/>
      <c r="D16" s="85"/>
    </row>
    <row r="17" spans="1:2" x14ac:dyDescent="0.25">
      <c r="A17" s="1" t="s">
        <v>186</v>
      </c>
      <c r="B17" s="76">
        <f>XNPV(B6,B8:B14,A8:A14)</f>
        <v>68.397614961220256</v>
      </c>
    </row>
    <row r="19" spans="1:2" ht="18" x14ac:dyDescent="0.35">
      <c r="A19" s="1" t="s">
        <v>189</v>
      </c>
      <c r="B19" s="2">
        <f>IRR(B8:B14,0.1)</f>
        <v>5.8727637011064981E-2</v>
      </c>
    </row>
    <row r="20" spans="1:2" ht="18" x14ac:dyDescent="0.35">
      <c r="A20" s="1" t="s">
        <v>190</v>
      </c>
      <c r="B20" s="2">
        <f>IRR(B9:B15,0.35)</f>
        <v>-8.8650739676035539E-2</v>
      </c>
    </row>
  </sheetData>
  <mergeCells count="3">
    <mergeCell ref="A1:D1"/>
    <mergeCell ref="A2:D2"/>
    <mergeCell ref="A16:D16"/>
  </mergeCells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Q1</vt:lpstr>
      <vt:lpstr>Q2</vt:lpstr>
      <vt:lpstr>Q3</vt:lpstr>
      <vt:lpstr>Q4</vt:lpstr>
      <vt:lpstr>Q5&amp;6</vt:lpstr>
      <vt:lpstr>Q7</vt:lpstr>
      <vt:lpstr>Q8</vt:lpstr>
      <vt:lpstr>Q9</vt:lpstr>
      <vt:lpstr>Q10 &amp; 11</vt:lpstr>
      <vt:lpstr>Q12</vt:lpstr>
      <vt:lpstr>Q13</vt:lpstr>
      <vt:lpstr>Q14</vt:lpstr>
      <vt:lpstr>Q15</vt:lpstr>
      <vt:lpstr>Q16 &amp; 17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nathaniel Choi</dc:creator>
  <cp:lastModifiedBy>nathaniel Choi</cp:lastModifiedBy>
  <dcterms:created xsi:type="dcterms:W3CDTF">2025-01-19T23:32:37Z</dcterms:created>
  <dcterms:modified xsi:type="dcterms:W3CDTF">2025-01-27T02:51:30Z</dcterms:modified>
</cp:coreProperties>
</file>