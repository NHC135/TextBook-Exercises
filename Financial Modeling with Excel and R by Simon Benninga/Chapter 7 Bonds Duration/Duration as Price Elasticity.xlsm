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Financial Modeling with Excel and R by Simon Benninga\Chapter 7 Bonds Duration\"/>
    </mc:Choice>
  </mc:AlternateContent>
  <xr:revisionPtr revIDLastSave="0" documentId="13_ncr:1_{7037ADEA-E3A5-4526-9C6B-DA0341E8C528}" xr6:coauthVersionLast="47" xr6:coauthVersionMax="47" xr10:uidLastSave="{00000000-0000-0000-0000-000000000000}"/>
  <bookViews>
    <workbookView xWindow="2340" yWindow="3585" windowWidth="21600" windowHeight="11385" xr2:uid="{2C0E2E1B-5D0A-4E08-A027-5709B949198D}"/>
  </bookViews>
  <sheets>
    <sheet name="Duration calculation" sheetId="4" r:id="rId1"/>
    <sheet name="Duration as Price Elasticity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4" l="1"/>
  <c r="F4" i="4"/>
  <c r="C5" i="4"/>
  <c r="F5" i="4"/>
  <c r="C6" i="4"/>
  <c r="F6" i="4"/>
  <c r="C7" i="4"/>
  <c r="F7" i="4"/>
  <c r="C8" i="4"/>
  <c r="F8" i="4"/>
  <c r="C9" i="4"/>
  <c r="F9" i="4"/>
  <c r="C10" i="4"/>
  <c r="F10" i="4"/>
  <c r="C11" i="4"/>
  <c r="F11" i="4"/>
  <c r="C12" i="4"/>
  <c r="F12" i="4"/>
  <c r="C13" i="4"/>
  <c r="E13" i="4"/>
  <c r="F13" i="4" s="1"/>
  <c r="B15" i="4"/>
  <c r="B16" i="4"/>
  <c r="B18" i="4" s="1"/>
  <c r="E16" i="4"/>
  <c r="E18" i="4" s="1"/>
  <c r="B21" i="4"/>
  <c r="B24" i="4"/>
  <c r="B22" i="4" a="1"/>
  <c r="B25" i="4" a="1"/>
  <c r="B25" i="4" l="1"/>
  <c r="B22" i="4"/>
  <c r="E15" i="4"/>
  <c r="C20" i="3"/>
  <c r="B20" i="3"/>
  <c r="C17" i="3"/>
  <c r="B17" i="3"/>
  <c r="B14" i="3"/>
  <c r="C13" i="3"/>
  <c r="B13" i="3"/>
  <c r="C10" i="3"/>
  <c r="B10" i="3"/>
  <c r="C7" i="3"/>
  <c r="B7" i="3"/>
  <c r="C8" i="3" a="1"/>
  <c r="B8" i="3" a="1"/>
  <c r="D19" i="3"/>
  <c r="D17" i="3"/>
  <c r="D20" i="3"/>
  <c r="C8" i="3" l="1"/>
  <c r="B8" i="3"/>
  <c r="B9" i="3" l="1"/>
  <c r="B19" i="3"/>
  <c r="C9" i="3"/>
  <c r="C19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<sst xmlns="http://schemas.openxmlformats.org/spreadsheetml/2006/main" count="37" uniqueCount="34">
  <si>
    <t>FV</t>
  </si>
  <si>
    <t>Duration</t>
  </si>
  <si>
    <t>Bond A</t>
  </si>
  <si>
    <t>Bond B</t>
  </si>
  <si>
    <t>Duration as Price Elasticity
The change in the bond price ~ -Duration * Price * Change in YTM (1+YTM)</t>
  </si>
  <si>
    <t xml:space="preserve">Discount Rate (YTM) </t>
  </si>
  <si>
    <t>Coupon rate</t>
  </si>
  <si>
    <t>Maturity</t>
  </si>
  <si>
    <t>Bond Price</t>
  </si>
  <si>
    <t>Modified Duration (excel)</t>
  </si>
  <si>
    <t>Modified Duration (direct)</t>
  </si>
  <si>
    <t>New discount rate</t>
  </si>
  <si>
    <t xml:space="preserve">New price (direct) </t>
  </si>
  <si>
    <t xml:space="preserve">% change in 1+YTM: </t>
  </si>
  <si>
    <t>Change in Price</t>
  </si>
  <si>
    <t>Actual</t>
  </si>
  <si>
    <t>Approximation by duration</t>
  </si>
  <si>
    <t>Mduration</t>
  </si>
  <si>
    <t>Change in Price ~ -D * P * Change YTM/(1+YTM)</t>
  </si>
  <si>
    <t>Basic Duration Calculation (the long way)</t>
  </si>
  <si>
    <t>Consider two bonds, Bonds A &amp; B</t>
  </si>
  <si>
    <t>YTM</t>
  </si>
  <si>
    <t>A: FV 1000 with 7% interest rate maturity in 1- years</t>
  </si>
  <si>
    <t>YEAR</t>
  </si>
  <si>
    <t>B: issued 5 years ago, Fv 1000, 13% coupon rate, remaining maturity 10 years</t>
  </si>
  <si>
    <t>A</t>
  </si>
  <si>
    <t>B</t>
  </si>
  <si>
    <t>Bond price (NPV)</t>
  </si>
  <si>
    <t>PV</t>
  </si>
  <si>
    <t>Excel's duration function and the VBA made function dduration</t>
  </si>
  <si>
    <r>
      <t>C</t>
    </r>
    <r>
      <rPr>
        <b/>
        <vertAlign val="subscript"/>
        <sz val="11"/>
        <color theme="1"/>
        <rFont val="Aptos Narrow"/>
        <family val="2"/>
        <scheme val="minor"/>
      </rPr>
      <t>t,A</t>
    </r>
  </si>
  <si>
    <r>
      <t>t*C</t>
    </r>
    <r>
      <rPr>
        <b/>
        <vertAlign val="subscript"/>
        <sz val="11"/>
        <color theme="1"/>
        <rFont val="Aptos Narrow"/>
        <family val="2"/>
        <scheme val="minor"/>
      </rPr>
      <t>t,A</t>
    </r>
  </si>
  <si>
    <r>
      <t>C</t>
    </r>
    <r>
      <rPr>
        <b/>
        <vertAlign val="subscript"/>
        <sz val="11"/>
        <color theme="1"/>
        <rFont val="Aptos Narrow"/>
        <family val="2"/>
        <scheme val="minor"/>
      </rPr>
      <t>t,B</t>
    </r>
  </si>
  <si>
    <r>
      <t>t*C</t>
    </r>
    <r>
      <rPr>
        <b/>
        <vertAlign val="subscript"/>
        <sz val="11"/>
        <color theme="1"/>
        <rFont val="Aptos Narrow"/>
        <family val="2"/>
        <scheme val="minor"/>
      </rPr>
      <t>t,B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</si>
</sst>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_);[Red]\(&quot;$&quot;#,##0.00\)"/>
    <numFmt numFmtId="43" formatCode="_(* #,##0.00_);_(* \(#,##0.00\);_(* &quot;-&quot;??_);_(@_)"/>
    <numFmt numFmtId="164" formatCode="0.000%"/>
  </numFmts>
  <fonts count="6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b/>
      <vertAlign val="subscript"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">
    <xf numFmtId="0" fontId="0" fillId="0" borderId="0" xfId="0"/>
    <xf numFmtId="9" fontId="0" fillId="0" borderId="0" xfId="0" applyNumberFormat="1"/>
    <xf numFmtId="0" fontId="2" fillId="0" borderId="0" xfId="0" applyFont="1"/>
    <xf numFmtId="8" fontId="0" fillId="0" borderId="0" xfId="0" applyNumberFormat="1"/>
    <xf numFmtId="10" fontId="0" fillId="0" borderId="0" xfId="0" applyNumberFormat="1"/>
    <xf numFmtId="164" fontId="0" fillId="0" borderId="0" xfId="1" applyNumberFormat="1" applyFont="1"/>
    <xf numFmtId="0" fontId="2" fillId="0" borderId="0" xfId="0" applyFont="1" applyAlignment="1">
      <alignment wrapText="1"/>
    </xf>
    <xf numFmtId="0" fontId="3" fillId="2" borderId="0" xfId="0" applyFont="1" applyFill="1" applyAlignment="1">
      <alignment horizontal="center" wrapText="1"/>
    </xf>
    <xf numFmtId="0" fontId="3" fillId="2" borderId="0" xfId="0" applyFont="1" applyFill="1" applyAlignment="1">
      <alignment horizontal="center"/>
    </xf>
    <xf numFmtId="0" fontId="4" fillId="3" borderId="0" xfId="0" applyFont="1" applyFill="1" applyAlignment="1">
      <alignment horizontal="center"/>
    </xf>
    <xf numFmtId="43" fontId="0" fillId="0" borderId="0" xfId="2" applyFont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1EF52-EC22-438C-A4AE-3A7B867D5339}">
  <dimension ref="A1:I25"/>
  <sheetViews>
    <sheetView tabSelected="1" workbookViewId="0">
      <selection activeCell="B24" sqref="B24"/>
    </sheetView>
  </sheetViews>
  <sheetFormatPr defaultRowHeight="15" x14ac:dyDescent="0.25"/>
  <cols>
    <col min="2" max="2" width="9.85546875" bestFit="1" customWidth="1"/>
    <col min="5" max="5" width="11" customWidth="1"/>
  </cols>
  <sheetData>
    <row r="1" spans="1:9" x14ac:dyDescent="0.25">
      <c r="A1" s="9" t="s">
        <v>19</v>
      </c>
      <c r="B1" s="9"/>
      <c r="C1" s="9"/>
      <c r="D1" s="9"/>
      <c r="E1" s="9"/>
      <c r="F1" s="9"/>
      <c r="G1" s="9"/>
      <c r="I1" t="s">
        <v>20</v>
      </c>
    </row>
    <row r="2" spans="1:9" x14ac:dyDescent="0.25">
      <c r="A2" s="2" t="s">
        <v>21</v>
      </c>
      <c r="B2" s="1">
        <v>7.0000000000000007E-2</v>
      </c>
      <c r="I2" t="s">
        <v>22</v>
      </c>
    </row>
    <row r="3" spans="1:9" ht="18" x14ac:dyDescent="0.35">
      <c r="A3" s="2" t="s">
        <v>23</v>
      </c>
      <c r="B3" s="2" t="s">
        <v>30</v>
      </c>
      <c r="C3" s="2" t="s">
        <v>31</v>
      </c>
      <c r="E3" s="2" t="s">
        <v>32</v>
      </c>
      <c r="F3" s="2" t="s">
        <v>33</v>
      </c>
      <c r="I3" t="s">
        <v>24</v>
      </c>
    </row>
    <row r="4" spans="1:9" x14ac:dyDescent="0.25">
      <c r="A4">
        <v>1</v>
      </c>
      <c r="B4">
        <v>70</v>
      </c>
      <c r="C4">
        <f>B4*A4</f>
        <v>70</v>
      </c>
      <c r="E4">
        <v>130</v>
      </c>
      <c r="F4">
        <f>E4*A4</f>
        <v>130</v>
      </c>
    </row>
    <row r="5" spans="1:9" x14ac:dyDescent="0.25">
      <c r="A5">
        <v>2</v>
      </c>
      <c r="B5">
        <v>70</v>
      </c>
      <c r="C5">
        <f>B5*A5</f>
        <v>140</v>
      </c>
      <c r="E5">
        <v>130</v>
      </c>
      <c r="F5">
        <f>E5*A5</f>
        <v>260</v>
      </c>
    </row>
    <row r="6" spans="1:9" x14ac:dyDescent="0.25">
      <c r="A6">
        <v>3</v>
      </c>
      <c r="B6">
        <v>70</v>
      </c>
      <c r="C6">
        <f>B6*A6</f>
        <v>210</v>
      </c>
      <c r="E6">
        <v>130</v>
      </c>
      <c r="F6">
        <f>E6*A6</f>
        <v>390</v>
      </c>
    </row>
    <row r="7" spans="1:9" x14ac:dyDescent="0.25">
      <c r="A7">
        <v>4</v>
      </c>
      <c r="B7">
        <v>70</v>
      </c>
      <c r="C7">
        <f>B7*A7</f>
        <v>280</v>
      </c>
      <c r="E7">
        <v>130</v>
      </c>
      <c r="F7">
        <f>E7*A7</f>
        <v>520</v>
      </c>
    </row>
    <row r="8" spans="1:9" x14ac:dyDescent="0.25">
      <c r="A8">
        <v>5</v>
      </c>
      <c r="B8">
        <v>70</v>
      </c>
      <c r="C8">
        <f>B8*A8</f>
        <v>350</v>
      </c>
      <c r="E8">
        <v>130</v>
      </c>
      <c r="F8">
        <f>E8*A8</f>
        <v>650</v>
      </c>
    </row>
    <row r="9" spans="1:9" x14ac:dyDescent="0.25">
      <c r="A9">
        <v>6</v>
      </c>
      <c r="B9">
        <v>70</v>
      </c>
      <c r="C9">
        <f>B9*A9</f>
        <v>420</v>
      </c>
      <c r="E9">
        <v>130</v>
      </c>
      <c r="F9">
        <f>E9*A9</f>
        <v>780</v>
      </c>
    </row>
    <row r="10" spans="1:9" x14ac:dyDescent="0.25">
      <c r="A10">
        <v>7</v>
      </c>
      <c r="B10">
        <v>70</v>
      </c>
      <c r="C10">
        <f>B10*A10</f>
        <v>490</v>
      </c>
      <c r="E10">
        <v>130</v>
      </c>
      <c r="F10">
        <f>E10*A10</f>
        <v>910</v>
      </c>
    </row>
    <row r="11" spans="1:9" x14ac:dyDescent="0.25">
      <c r="A11">
        <v>8</v>
      </c>
      <c r="B11">
        <v>70</v>
      </c>
      <c r="C11">
        <f>B11*A11</f>
        <v>560</v>
      </c>
      <c r="E11">
        <v>130</v>
      </c>
      <c r="F11">
        <f>E11*A11</f>
        <v>1040</v>
      </c>
    </row>
    <row r="12" spans="1:9" x14ac:dyDescent="0.25">
      <c r="A12">
        <v>9</v>
      </c>
      <c r="B12">
        <v>70</v>
      </c>
      <c r="C12">
        <f>B12*A12</f>
        <v>630</v>
      </c>
      <c r="E12">
        <v>130</v>
      </c>
      <c r="F12">
        <f>E12*A12</f>
        <v>1170</v>
      </c>
    </row>
    <row r="13" spans="1:9" x14ac:dyDescent="0.25">
      <c r="A13">
        <v>10</v>
      </c>
      <c r="B13">
        <v>1070</v>
      </c>
      <c r="C13">
        <f>B13*A13</f>
        <v>10700</v>
      </c>
      <c r="E13">
        <f>1000+E12</f>
        <v>1130</v>
      </c>
      <c r="F13">
        <f>E13*A13</f>
        <v>11300</v>
      </c>
    </row>
    <row r="14" spans="1:9" x14ac:dyDescent="0.25">
      <c r="B14" s="2" t="s">
        <v>25</v>
      </c>
      <c r="E14" s="2" t="s">
        <v>26</v>
      </c>
    </row>
    <row r="15" spans="1:9" x14ac:dyDescent="0.25">
      <c r="A15" s="2" t="s">
        <v>27</v>
      </c>
      <c r="B15" s="3">
        <f>NPV(B2,B4:B13)</f>
        <v>999.99999999999955</v>
      </c>
      <c r="E15" s="3">
        <f>NPV(B2,E4:E13)</f>
        <v>1421.4148924559556</v>
      </c>
    </row>
    <row r="16" spans="1:9" x14ac:dyDescent="0.25">
      <c r="A16" s="2" t="s">
        <v>28</v>
      </c>
      <c r="B16" s="3">
        <f>-PV(B2,A13,B4,1000)</f>
        <v>1000</v>
      </c>
      <c r="E16" s="3">
        <f>-PV(B2,A13,E4,1000)</f>
        <v>1421.4148924559563</v>
      </c>
    </row>
    <row r="17" spans="1:5" x14ac:dyDescent="0.25">
      <c r="A17" s="2"/>
    </row>
    <row r="18" spans="1:5" x14ac:dyDescent="0.25">
      <c r="A18" s="2" t="s">
        <v>1</v>
      </c>
      <c r="B18" s="10">
        <f>NPV(B2,C4:C13)/B16</f>
        <v>7.5152322487978802</v>
      </c>
      <c r="E18" s="10">
        <f>NPV(B2,F4:F13)/E16</f>
        <v>6.7535385303085107</v>
      </c>
    </row>
    <row r="20" spans="1:5" x14ac:dyDescent="0.25">
      <c r="A20" s="2" t="s">
        <v>29</v>
      </c>
    </row>
    <row r="21" spans="1:5" x14ac:dyDescent="0.25">
      <c r="A21" s="2" t="s">
        <v>2</v>
      </c>
      <c r="B21">
        <f>DURATION(DATE(2020,12,31),DATE(2030,12,31),7%,B2,1)</f>
        <v>7.5152322487978838</v>
      </c>
    </row>
    <row r="22" spans="1:5" x14ac:dyDescent="0.25">
      <c r="B22" cm="1">
        <f t="array" ref="B22">dduration(A13,7%,B2,1)</f>
        <v>7.5152322487978829</v>
      </c>
    </row>
    <row r="24" spans="1:5" x14ac:dyDescent="0.25">
      <c r="A24" s="2" t="s">
        <v>3</v>
      </c>
      <c r="B24" s="10">
        <f>DURATION(DATE(2020,12,31),DATE(2030,12,31),13%,7%,1)</f>
        <v>6.7535385303085134</v>
      </c>
    </row>
    <row r="25" spans="1:5" x14ac:dyDescent="0.25">
      <c r="B25" cm="1">
        <f t="array" ref="B25">dduration(A13,13%,7%,1)</f>
        <v>6.7535385303085134</v>
      </c>
    </row>
  </sheetData>
  <mergeCells count="1">
    <mergeCell ref="A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6AC19-6B57-4A9D-9465-9C49EA62B9AC}">
  <dimension ref="A1:D20"/>
  <sheetViews>
    <sheetView workbookViewId="0">
      <selection activeCell="B21" sqref="B21"/>
    </sheetView>
  </sheetViews>
  <sheetFormatPr defaultRowHeight="15" x14ac:dyDescent="0.25"/>
  <cols>
    <col min="1" max="1" width="43" customWidth="1"/>
    <col min="2" max="2" width="21.85546875" customWidth="1"/>
    <col min="3" max="4" width="15.28515625" customWidth="1"/>
  </cols>
  <sheetData>
    <row r="1" spans="1:4" ht="34.5" customHeight="1" x14ac:dyDescent="0.25">
      <c r="A1" s="7" t="s">
        <v>4</v>
      </c>
      <c r="B1" s="8"/>
      <c r="C1" s="8"/>
      <c r="D1" s="8"/>
    </row>
    <row r="2" spans="1:4" x14ac:dyDescent="0.25">
      <c r="A2" s="2" t="s">
        <v>5</v>
      </c>
      <c r="B2" s="1">
        <v>7.0000000000000007E-2</v>
      </c>
    </row>
    <row r="3" spans="1:4" x14ac:dyDescent="0.25">
      <c r="A3" s="2"/>
      <c r="B3" s="2" t="s">
        <v>2</v>
      </c>
      <c r="C3" s="2" t="s">
        <v>3</v>
      </c>
    </row>
    <row r="4" spans="1:4" x14ac:dyDescent="0.25">
      <c r="A4" s="2" t="s">
        <v>6</v>
      </c>
      <c r="B4" s="1">
        <v>7.0000000000000007E-2</v>
      </c>
      <c r="C4" s="1">
        <v>0.13</v>
      </c>
    </row>
    <row r="5" spans="1:4" x14ac:dyDescent="0.25">
      <c r="A5" s="2" t="s">
        <v>0</v>
      </c>
      <c r="B5">
        <v>1000</v>
      </c>
      <c r="C5">
        <v>1000</v>
      </c>
    </row>
    <row r="6" spans="1:4" x14ac:dyDescent="0.25">
      <c r="A6" s="2" t="s">
        <v>7</v>
      </c>
      <c r="B6">
        <v>10</v>
      </c>
      <c r="C6">
        <v>10</v>
      </c>
    </row>
    <row r="7" spans="1:4" x14ac:dyDescent="0.25">
      <c r="A7" s="2" t="s">
        <v>8</v>
      </c>
      <c r="B7" s="3">
        <f>-PV($B$2,B6,B4*B5,B5)</f>
        <v>1000</v>
      </c>
      <c r="C7" s="3">
        <f>-PV($B$2,C6,C4*C5,C5)</f>
        <v>1421.4148924559563</v>
      </c>
    </row>
    <row r="8" spans="1:4" x14ac:dyDescent="0.25">
      <c r="A8" s="6" t="s">
        <v>1</v>
      </c>
      <c r="B8" cm="1">
        <f t="array" ref="B8">dduration(B6,B4,$B$2,1)</f>
        <v>7.5152322487978829</v>
      </c>
      <c r="C8" cm="1">
        <f t="array" ref="C8">dduration(C6,C4,$B$2,1)</f>
        <v>6.7535385303085134</v>
      </c>
    </row>
    <row r="9" spans="1:4" x14ac:dyDescent="0.25">
      <c r="A9" s="2" t="s">
        <v>10</v>
      </c>
      <c r="B9">
        <f>B8/(1+$B$2)</f>
        <v>7.0235815409326001</v>
      </c>
      <c r="C9">
        <f>C8/(1+$B$2)</f>
        <v>6.3117182526247788</v>
      </c>
    </row>
    <row r="10" spans="1:4" x14ac:dyDescent="0.25">
      <c r="A10" s="2" t="s">
        <v>9</v>
      </c>
      <c r="B10">
        <f>MDURATION(DATE(2020,12,31),DATE(2030,12,31),B4,$B$2,1)</f>
        <v>7.023581540932601</v>
      </c>
      <c r="C10">
        <f>MDURATION(DATE(2020,12,31),DATE(2030,12,31),C4,$B$2,1)</f>
        <v>6.3117182526247788</v>
      </c>
    </row>
    <row r="11" spans="1:4" x14ac:dyDescent="0.25">
      <c r="A11" s="2"/>
    </row>
    <row r="12" spans="1:4" x14ac:dyDescent="0.25">
      <c r="A12" s="2" t="s">
        <v>11</v>
      </c>
      <c r="B12" s="4">
        <v>0.08</v>
      </c>
      <c r="C12" s="4">
        <v>0.08</v>
      </c>
    </row>
    <row r="13" spans="1:4" x14ac:dyDescent="0.25">
      <c r="A13" s="2" t="s">
        <v>12</v>
      </c>
      <c r="B13" s="3">
        <f>-PV(B12,B6,B4*B5,B5)</f>
        <v>932.89918601058559</v>
      </c>
      <c r="C13" s="3">
        <f>-PV(C12,C6,C4*C5,C5)</f>
        <v>1335.5040699470721</v>
      </c>
    </row>
    <row r="14" spans="1:4" x14ac:dyDescent="0.25">
      <c r="A14" s="2" t="s">
        <v>13</v>
      </c>
      <c r="B14" s="5">
        <f xml:space="preserve"> (B12-B2)/(1+B2)</f>
        <v>9.3457943925233586E-3</v>
      </c>
    </row>
    <row r="16" spans="1:4" x14ac:dyDescent="0.25">
      <c r="A16" s="2" t="s">
        <v>14</v>
      </c>
    </row>
    <row r="17" spans="1:4" x14ac:dyDescent="0.25">
      <c r="A17" t="s">
        <v>15</v>
      </c>
      <c r="B17" s="3">
        <f>B13-B7</f>
        <v>-67.100813989414405</v>
      </c>
      <c r="C17" s="3">
        <f>C13-C7</f>
        <v>-85.910822508884166</v>
      </c>
      <c r="D17" t="str">
        <f ca="1">_xlfn.FORMULATEXT(C17)</f>
        <v>=C13-C7</v>
      </c>
    </row>
    <row r="18" spans="1:4" x14ac:dyDescent="0.25">
      <c r="A18" s="2" t="s">
        <v>16</v>
      </c>
    </row>
    <row r="19" spans="1:4" x14ac:dyDescent="0.25">
      <c r="A19" s="2" t="s">
        <v>18</v>
      </c>
      <c r="B19" s="3">
        <f>-B8*$B$14*B7</f>
        <v>-70.235815409325966</v>
      </c>
      <c r="C19" s="3">
        <f>-C8*$B$14*C7</f>
        <v>-89.715703212669411</v>
      </c>
      <c r="D19" t="str">
        <f ca="1">_xlfn.FORMULATEXT(C19)</f>
        <v>=-C8*$B$14*C7</v>
      </c>
    </row>
    <row r="20" spans="1:4" x14ac:dyDescent="0.25">
      <c r="A20" s="2" t="s">
        <v>17</v>
      </c>
      <c r="B20">
        <f>($B$12-$B$2)*B5*B10</f>
        <v>70.235815409325966</v>
      </c>
      <c r="C20">
        <f>($B$12-$B$2)*C5*C10</f>
        <v>63.117182526247753</v>
      </c>
      <c r="D20" t="str">
        <f ca="1">_xlfn.FORMULATEXT(C20)</f>
        <v>=($B$12-$B$2)*C5*C10</v>
      </c>
    </row>
  </sheetData>
  <mergeCells count="1">
    <mergeCell ref="A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Duration calculation</vt:lpstr>
      <vt:lpstr>Duration as Price Elasticity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nathaniel Choi</dc:creator>
  <cp:lastModifiedBy>nathaniel Choi</cp:lastModifiedBy>
  <dcterms:created xsi:type="dcterms:W3CDTF">2025-02-09T09:32:15Z</dcterms:created>
  <dcterms:modified xsi:type="dcterms:W3CDTF">2025-02-12T07:36:17Z</dcterms:modified>
</cp:coreProperties>
</file>